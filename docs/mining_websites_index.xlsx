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ning Websit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<sst xmlns="http://schemas.openxmlformats.org/spreadsheetml/2006/main" count="1373" uniqueCount="640">
  <si>
    <t xml:space="preserve">Category</t>
  </si>
  <si>
    <t xml:space="preserve">Website Name</t>
  </si>
  <si>
    <t xml:space="preserve">URL</t>
  </si>
  <si>
    <t xml:space="preserve">Focus Area</t>
  </si>
  <si>
    <t xml:space="preserve">Geographic Focus</t>
  </si>
  <si>
    <t xml:space="preserve">Content Model</t>
  </si>
  <si>
    <t xml:space="preserve">Language</t>
  </si>
  <si>
    <t xml:space="preserve">Owner / Publisher</t>
  </si>
  <si>
    <t xml:space="preserve">Status</t>
  </si>
  <si>
    <t xml:space="preserve">Notes</t>
  </si>
  <si>
    <t xml:space="preserve">News &amp; Analysis</t>
  </si>
  <si>
    <t xml:space="preserve">MINING.COM</t>
  </si>
  <si>
    <t xml:space="preserve">https://www.mining.com</t>
  </si>
  <si>
    <t xml:space="preserve">General Mining</t>
  </si>
  <si>
    <t xml:space="preserve">Global</t>
  </si>
  <si>
    <t xml:space="preserve">Freemium</t>
  </si>
  <si>
    <t xml:space="preserve">English</t>
  </si>
  <si>
    <t xml:space="preserve">Glacier Resource Innovation Group</t>
  </si>
  <si>
    <t xml:space="preserve">Active</t>
  </si>
  <si>
    <t xml:space="preserve">Self-proclaimed #1 source of global mining news; Mining Power Rankings; owned by Glacier Media</t>
  </si>
  <si>
    <t xml:space="preserve">The Northern Miner</t>
  </si>
  <si>
    <t xml:space="preserve">https://www.northernminer.com</t>
  </si>
  <si>
    <t xml:space="preserve">General Mining / Precious Metals</t>
  </si>
  <si>
    <t xml:space="preserve">Canada / Global</t>
  </si>
  <si>
    <t xml:space="preserve">NMG Media</t>
  </si>
  <si>
    <t xml:space="preserve">Founded 1915; Canada's flagship mining publication; print and digital</t>
  </si>
  <si>
    <t xml:space="preserve">Mining Journal</t>
  </si>
  <si>
    <t xml:space="preserve">https://www.mining-journal.com</t>
  </si>
  <si>
    <t xml:space="preserve">Mining Investment</t>
  </si>
  <si>
    <t xml:space="preserve">Subscription</t>
  </si>
  <si>
    <t xml:space="preserve">Aspermont Ltd</t>
  </si>
  <si>
    <t xml:space="preserve">Founded 1835; world's oldest mining publication; data-driven insights, ESG index</t>
  </si>
  <si>
    <t xml:space="preserve">Mining Magazine</t>
  </si>
  <si>
    <t xml:space="preserve">https://www.miningmagazine.com</t>
  </si>
  <si>
    <t xml:space="preserve">Mining Operations / Technology</t>
  </si>
  <si>
    <t xml:space="preserve">Operations and technology focused; fleet, automation, digitalisation</t>
  </si>
  <si>
    <t xml:space="preserve">MiningNews.net</t>
  </si>
  <si>
    <t xml:space="preserve">https://www.miningnews.net</t>
  </si>
  <si>
    <t xml:space="preserve">Australia</t>
  </si>
  <si>
    <t xml:space="preserve">Australian mining investment and finance news</t>
  </si>
  <si>
    <t xml:space="preserve">Mining Weekly</t>
  </si>
  <si>
    <t xml:space="preserve">https://www.miningweekly.com</t>
  </si>
  <si>
    <t xml:space="preserve">South Africa / Global</t>
  </si>
  <si>
    <t xml:space="preserve">Creamer Media</t>
  </si>
  <si>
    <t xml:space="preserve">South African focus; covers all commodities and African mining</t>
  </si>
  <si>
    <t xml:space="preserve">Canadian Mining Journal</t>
  </si>
  <si>
    <t xml:space="preserve">https://www.canadianminingjournal.com</t>
  </si>
  <si>
    <t xml:space="preserve">Canada</t>
  </si>
  <si>
    <t xml:space="preserve">Free</t>
  </si>
  <si>
    <t xml:space="preserve">Glacier Media</t>
  </si>
  <si>
    <t xml:space="preserve">Canada-focused mining industry news since 1882</t>
  </si>
  <si>
    <t xml:space="preserve">Mining Technology</t>
  </si>
  <si>
    <t xml:space="preserve">https://www.mining-technology.com</t>
  </si>
  <si>
    <t xml:space="preserve">GlobalData</t>
  </si>
  <si>
    <t xml:space="preserve">Equipment and technology news; project profiles</t>
  </si>
  <si>
    <t xml:space="preserve">Mining Digital</t>
  </si>
  <si>
    <t xml:space="preserve">https://www.miningdigital.com</t>
  </si>
  <si>
    <t xml:space="preserve">Mining Technology / Business</t>
  </si>
  <si>
    <t xml:space="preserve">BizClik Media Group</t>
  </si>
  <si>
    <t xml:space="preserve">Digital magazine; top 10 lists; technology and sustainability</t>
  </si>
  <si>
    <t xml:space="preserve">Engineering &amp; Mining Journal (E&amp;MJ)</t>
  </si>
  <si>
    <t xml:space="preserve">https://www.e-mj.com</t>
  </si>
  <si>
    <t xml:space="preserve">Mining Engineering</t>
  </si>
  <si>
    <t xml:space="preserve">Mining Media International</t>
  </si>
  <si>
    <t xml:space="preserve">Founded 1866; engineering and operations focus</t>
  </si>
  <si>
    <t xml:space="preserve">International Mining</t>
  </si>
  <si>
    <t xml:space="preserve">https://im-mining.com</t>
  </si>
  <si>
    <t xml:space="preserve">Mining Equipment / Operations</t>
  </si>
  <si>
    <t xml:space="preserve">John Chadwick &amp; Associates</t>
  </si>
  <si>
    <t xml:space="preserve">Equipment, operations, and technology coverage</t>
  </si>
  <si>
    <t xml:space="preserve">CIM Magazine</t>
  </si>
  <si>
    <t xml:space="preserve">https://magazine.cim.org</t>
  </si>
  <si>
    <t xml:space="preserve">Canadian Institute of Mining</t>
  </si>
  <si>
    <t xml:space="preserve">Official CIM publication; technical and policy articles</t>
  </si>
  <si>
    <t xml:space="preserve">Australian Mining</t>
  </si>
  <si>
    <t xml:space="preserve">https://www.australianmining.com.au</t>
  </si>
  <si>
    <t xml:space="preserve">Prime Creative Media</t>
  </si>
  <si>
    <t xml:space="preserve">Australian mining industry news and equipment</t>
  </si>
  <si>
    <t xml:space="preserve">Global Mining Review</t>
  </si>
  <si>
    <t xml:space="preserve">https://www.globalminingreview.com</t>
  </si>
  <si>
    <t xml:space="preserve">Mining Operations</t>
  </si>
  <si>
    <t xml:space="preserve">Palladian Publications</t>
  </si>
  <si>
    <t xml:space="preserve">Technical articles on operations and processing</t>
  </si>
  <si>
    <t xml:space="preserve">Mining Global</t>
  </si>
  <si>
    <t xml:space="preserve">https://miningglobal.com</t>
  </si>
  <si>
    <t xml:space="preserve">Mining Business</t>
  </si>
  <si>
    <t xml:space="preserve">CEO insights, sustainability, and digital transformation</t>
  </si>
  <si>
    <t xml:space="preserve">Precious Metals News</t>
  </si>
  <si>
    <t xml:space="preserve">Kitco News</t>
  </si>
  <si>
    <t xml:space="preserve">https://www.kitco.com/news</t>
  </si>
  <si>
    <t xml:space="preserve">Gold / Silver / PGM</t>
  </si>
  <si>
    <t xml:space="preserve">Kitco Metals Inc.</t>
  </si>
  <si>
    <t xml:space="preserve">Industry-leading precious metals news; daily video analysis</t>
  </si>
  <si>
    <t xml:space="preserve">Gold.org (World Gold Council)</t>
  </si>
  <si>
    <t xml:space="preserve">https://www.gold.org</t>
  </si>
  <si>
    <t xml:space="preserve">Gold</t>
  </si>
  <si>
    <t xml:space="preserve">World Gold Council</t>
  </si>
  <si>
    <t xml:space="preserve">Gold demand trends; Goldhub data platform; ETF flows</t>
  </si>
  <si>
    <t xml:space="preserve">SilverSeek</t>
  </si>
  <si>
    <t xml:space="preserve">https://www.silverseek.com</t>
  </si>
  <si>
    <t xml:space="preserve">Silver</t>
  </si>
  <si>
    <t xml:space="preserve">SilverSeek.com</t>
  </si>
  <si>
    <t xml:space="preserve">Silver market news, analysis, and commentary</t>
  </si>
  <si>
    <t xml:space="preserve">GoldSeek</t>
  </si>
  <si>
    <t xml:space="preserve">https://www.goldseek.com</t>
  </si>
  <si>
    <t xml:space="preserve">GoldSeek.com</t>
  </si>
  <si>
    <t xml:space="preserve">Gold market news and precious metals commentary</t>
  </si>
  <si>
    <t xml:space="preserve">Sprott Money News</t>
  </si>
  <si>
    <t xml:space="preserve">https://www.sprottmoney.com/blog</t>
  </si>
  <si>
    <t xml:space="preserve">Precious Metals</t>
  </si>
  <si>
    <t xml:space="preserve">North America</t>
  </si>
  <si>
    <t xml:space="preserve">Sprott Money Ltd.</t>
  </si>
  <si>
    <t xml:space="preserve">Precious metals commentary from bullion dealer</t>
  </si>
  <si>
    <t xml:space="preserve">SchiffGold</t>
  </si>
  <si>
    <t xml:space="preserve">https://schiffgold.com/news</t>
  </si>
  <si>
    <t xml:space="preserve">Gold / Precious Metals</t>
  </si>
  <si>
    <t xml:space="preserve">USA</t>
  </si>
  <si>
    <t xml:space="preserve">SchiffGold / Peter Schiff</t>
  </si>
  <si>
    <t xml:space="preserve">Gold market analysis with macro perspective</t>
  </si>
  <si>
    <t xml:space="preserve">Junior Mining</t>
  </si>
  <si>
    <t xml:space="preserve">Junior Mining Network</t>
  </si>
  <si>
    <t xml:space="preserve">https://www.juniorminingnetwork.com</t>
  </si>
  <si>
    <t xml:space="preserve">Junior Mining Stocks</t>
  </si>
  <si>
    <t xml:space="preserve">Real-time news, stock screener, and drill results for junior miners</t>
  </si>
  <si>
    <t xml:space="preserve">CEO.CA</t>
  </si>
  <si>
    <t xml:space="preserve">https://ceo.ca</t>
  </si>
  <si>
    <t xml:space="preserve">Junior Mining Chat</t>
  </si>
  <si>
    <t xml:space="preserve">CEO.CA Inc.</t>
  </si>
  <si>
    <t xml:space="preserve">Community chat, stock tracking, and insider alerts for juniors</t>
  </si>
  <si>
    <t xml:space="preserve">The Assay</t>
  </si>
  <si>
    <t xml:space="preserve">https://www.theassay.com</t>
  </si>
  <si>
    <t xml:space="preserve">Mining Investment Profiles</t>
  </si>
  <si>
    <t xml:space="preserve">121 Group</t>
  </si>
  <si>
    <t xml:space="preserve">Company profiles, investment insights, and Assay TV interviews</t>
  </si>
  <si>
    <t xml:space="preserve">Junior Miner Junky</t>
  </si>
  <si>
    <t xml:space="preserve">https://www.juniorminersjunky.com</t>
  </si>
  <si>
    <t xml:space="preserve">Junior Mining Analysis</t>
  </si>
  <si>
    <t xml:space="preserve">David Erfle</t>
  </si>
  <si>
    <t xml:space="preserve">Premium newsletter for junior mining stock speculators</t>
  </si>
  <si>
    <t xml:space="preserve">Junior Stock Review</t>
  </si>
  <si>
    <t xml:space="preserve">https://juniorstockreview.com</t>
  </si>
  <si>
    <t xml:space="preserve">Brian Leni, P.Eng</t>
  </si>
  <si>
    <t xml:space="preserve">Engineer-focused junior mining stock analysis</t>
  </si>
  <si>
    <t xml:space="preserve">Kaiser Research Online</t>
  </si>
  <si>
    <t xml:space="preserve">https://www.kaiserresearch.com</t>
  </si>
  <si>
    <t xml:space="preserve">Junior Mining Data</t>
  </si>
  <si>
    <t xml:space="preserve">John Kaiser</t>
  </si>
  <si>
    <t xml:space="preserve">Canadian junior resource sector data; Spec Value Hunter picks</t>
  </si>
  <si>
    <t xml:space="preserve">Commodity Prices &amp; Data</t>
  </si>
  <si>
    <t xml:space="preserve">Kitco Spot Prices</t>
  </si>
  <si>
    <t xml:space="preserve">https://www.kitco.com/price/precious-metals</t>
  </si>
  <si>
    <t xml:space="preserve">Precious Metals Prices</t>
  </si>
  <si>
    <t xml:space="preserve">Industry standard for live gold/silver/platinum/palladium prices</t>
  </si>
  <si>
    <t xml:space="preserve">London Metal Exchange (LME)</t>
  </si>
  <si>
    <t xml:space="preserve">https://www.lme.com</t>
  </si>
  <si>
    <t xml:space="preserve">Base Metals Prices</t>
  </si>
  <si>
    <t xml:space="preserve">HKEX Group</t>
  </si>
  <si>
    <t xml:space="preserve">Official LME futures &amp; spot prices for copper, aluminium, zinc, etc.</t>
  </si>
  <si>
    <t xml:space="preserve">Investing.com Commodities</t>
  </si>
  <si>
    <t xml:space="preserve">https://www.investing.com/commodities</t>
  </si>
  <si>
    <t xml:space="preserve">All Commodities</t>
  </si>
  <si>
    <t xml:space="preserve">Multi</t>
  </si>
  <si>
    <t xml:space="preserve">Fusion Media Ltd.</t>
  </si>
  <si>
    <t xml:space="preserve">Comprehensive commodity tracking with charts and analysis</t>
  </si>
  <si>
    <t xml:space="preserve">Trading Economics</t>
  </si>
  <si>
    <t xml:space="preserve">https://tradingeconomics.com/commodities</t>
  </si>
  <si>
    <t xml:space="preserve">Macro data, commodity prices, and economic indicators</t>
  </si>
  <si>
    <t xml:space="preserve">Fastmarkets (Metal Bulletin)</t>
  </si>
  <si>
    <t xml:space="preserve">https://www.fastmarkets.com</t>
  </si>
  <si>
    <t xml:space="preserve">Metals Pricing</t>
  </si>
  <si>
    <t xml:space="preserve">Fastmarkets</t>
  </si>
  <si>
    <t xml:space="preserve">Benchmark pricing for metals and minerals; formerly Metal Bulletin</t>
  </si>
  <si>
    <t xml:space="preserve">S&amp;P Global Commodity Insights</t>
  </si>
  <si>
    <t xml:space="preserve">https://www.spglobal.com/commodityinsights</t>
  </si>
  <si>
    <t xml:space="preserve">S&amp;P Global</t>
  </si>
  <si>
    <t xml:space="preserve">Premium market intelligence; formerly Platts</t>
  </si>
  <si>
    <t xml:space="preserve">InfoMine</t>
  </si>
  <si>
    <t xml:space="preserve">https://www.infomine.com</t>
  </si>
  <si>
    <t xml:space="preserve">Mining Costs / Commodities</t>
  </si>
  <si>
    <t xml:space="preserve">InfoMine Inc.</t>
  </si>
  <si>
    <t xml:space="preserve">Mining cost data, commodity charts, property listings</t>
  </si>
  <si>
    <t xml:space="preserve">TradingView</t>
  </si>
  <si>
    <t xml:space="preserve">https://www.tradingview.com</t>
  </si>
  <si>
    <t xml:space="preserve">Charting / All Commodities</t>
  </si>
  <si>
    <t xml:space="preserve">TradingView Inc.</t>
  </si>
  <si>
    <t xml:space="preserve">Advanced charting for commodity futures and mining stocks</t>
  </si>
  <si>
    <t xml:space="preserve">Barchart Commodities</t>
  </si>
  <si>
    <t xml:space="preserve">https://www.barchart.com/futures/metals</t>
  </si>
  <si>
    <t xml:space="preserve">Metals Futures</t>
  </si>
  <si>
    <t xml:space="preserve">Barchart.com Inc.</t>
  </si>
  <si>
    <t xml:space="preserve">Metal futures data, gold stock lists, screeners</t>
  </si>
  <si>
    <t xml:space="preserve">Stock Screeners &amp; Data</t>
  </si>
  <si>
    <t xml:space="preserve">Mining Data Online</t>
  </si>
  <si>
    <t xml:space="preserve">https://miningdataonline.com</t>
  </si>
  <si>
    <t xml:space="preserve">Mine Operations Data</t>
  </si>
  <si>
    <t xml:space="preserve">Reserves, production, costs, fleet data for active mines</t>
  </si>
  <si>
    <t xml:space="preserve">Metal Pilot</t>
  </si>
  <si>
    <t xml:space="preserve">https://metalpilot.com</t>
  </si>
  <si>
    <t xml:space="preserve">Mining Stock Screener</t>
  </si>
  <si>
    <t xml:space="preserve">Filter 300+ mining stocks by commodity, location, size</t>
  </si>
  <si>
    <t xml:space="preserve">Gold Stock Data</t>
  </si>
  <si>
    <t xml:space="preserve">https://www.goldstockdata.com</t>
  </si>
  <si>
    <t xml:space="preserve">Gold / Silver Stocks</t>
  </si>
  <si>
    <t xml:space="preserve">Compare 843 gold/silver mining stocks with analysis tools</t>
  </si>
  <si>
    <t xml:space="preserve">GoldSheetLinks</t>
  </si>
  <si>
    <t xml:space="preserve">https://www.goldsheetlinks.com</t>
  </si>
  <si>
    <t xml:space="preserve">Mining Stock Directory</t>
  </si>
  <si>
    <t xml:space="preserve">GoldSheet Mining Directory</t>
  </si>
  <si>
    <t xml:space="preserve">Comprehensive A-Z directory of mining stocks, links, and charts</t>
  </si>
  <si>
    <t xml:space="preserve">TMXMoney</t>
  </si>
  <si>
    <t xml:space="preserve">https://www.tmxmoney.com</t>
  </si>
  <si>
    <t xml:space="preserve">TSX / TSXV Stocks</t>
  </si>
  <si>
    <t xml:space="preserve">TMX Group</t>
  </si>
  <si>
    <t xml:space="preserve">Official TSX/TSXV stock data; mining is largest sector on TSX-V</t>
  </si>
  <si>
    <t xml:space="preserve">Stockwatch</t>
  </si>
  <si>
    <t xml:space="preserve">https://www.stockwatch.com</t>
  </si>
  <si>
    <t xml:space="preserve">Canadian Mining Stocks</t>
  </si>
  <si>
    <t xml:space="preserve">Canjex Publishing Ltd.</t>
  </si>
  <si>
    <t xml:space="preserve">Real-time TSX/TSXV data; insider trading; popular with miners</t>
  </si>
  <si>
    <t xml:space="preserve">Yahoo Finance Mining</t>
  </si>
  <si>
    <t xml:space="preserve">https://finance.yahoo.com/research-hub/screener</t>
  </si>
  <si>
    <t xml:space="preserve">All Stocks</t>
  </si>
  <si>
    <t xml:space="preserve">Yahoo / Apollo</t>
  </si>
  <si>
    <t xml:space="preserve">Free screener with metals &amp; mining sector filters</t>
  </si>
  <si>
    <t xml:space="preserve">Finviz Mining Screener</t>
  </si>
  <si>
    <t xml:space="preserve">https://finviz.com/screener.ashx</t>
  </si>
  <si>
    <t xml:space="preserve">US Mining Stocks</t>
  </si>
  <si>
    <t xml:space="preserve">Finviz Inc.</t>
  </si>
  <si>
    <t xml:space="preserve">Visual stock screener with basic materials / mining filters</t>
  </si>
  <si>
    <t xml:space="preserve">Visual Capitalist</t>
  </si>
  <si>
    <t xml:space="preserve">https://www.visualcapitalist.com</t>
  </si>
  <si>
    <t xml:space="preserve">Mining Infographics</t>
  </si>
  <si>
    <t xml:space="preserve">Visual Capitalist Media</t>
  </si>
  <si>
    <t xml:space="preserve">Data-driven infographics on mining, metals, and commodities</t>
  </si>
  <si>
    <t xml:space="preserve">Investment Research</t>
  </si>
  <si>
    <t xml:space="preserve">Exploration Insights</t>
  </si>
  <si>
    <t xml:space="preserve">https://explorationinsights.com</t>
  </si>
  <si>
    <t xml:space="preserve">Junior Mining Geology</t>
  </si>
  <si>
    <t xml:space="preserve">Brent Cook / Joe Mazumdar</t>
  </si>
  <si>
    <t xml:space="preserve">Independent, technical geological analysis; Turning Rocks into Money™</t>
  </si>
  <si>
    <t xml:space="preserve">Mining Stock Education</t>
  </si>
  <si>
    <t xml:space="preserve">https://www.miningstockeducation.com</t>
  </si>
  <si>
    <t xml:space="preserve">Mining Investment Education</t>
  </si>
  <si>
    <t xml:space="preserve">Bill Powers</t>
  </si>
  <si>
    <t xml:space="preserve">Podcast and newsletter; interviews with execs and analysts</t>
  </si>
  <si>
    <t xml:space="preserve">Crux Investor</t>
  </si>
  <si>
    <t xml:space="preserve">https://www.cruxinvestor.com</t>
  </si>
  <si>
    <t xml:space="preserve">Mining Stock Analysis</t>
  </si>
  <si>
    <t xml:space="preserve">Matthew Gordon</t>
  </si>
  <si>
    <t xml:space="preserve">Company interviews, stock rankings, WSJ-awarded analysts</t>
  </si>
  <si>
    <t xml:space="preserve">InvestorIdeas.com Mining</t>
  </si>
  <si>
    <t xml:space="preserve">https://www.investorideas.com</t>
  </si>
  <si>
    <t xml:space="preserve">Mining / Multi-sector</t>
  </si>
  <si>
    <t xml:space="preserve">InvestorIdeas.com</t>
  </si>
  <si>
    <t xml:space="preserve">Stock directories, podcasts; Exploring Mining podcast</t>
  </si>
  <si>
    <t xml:space="preserve">Metals Investor Forum</t>
  </si>
  <si>
    <t xml:space="preserve">https://metalsinvestorforum.com</t>
  </si>
  <si>
    <t xml:space="preserve">Mining Investment Events</t>
  </si>
  <si>
    <t xml:space="preserve">Live and virtual investor presentations; newsletter writers</t>
  </si>
  <si>
    <t xml:space="preserve">Resource Insider</t>
  </si>
  <si>
    <t xml:space="preserve">https://resourceinsider.com</t>
  </si>
  <si>
    <t xml:space="preserve">Jamie Keech / Ivaldi Capital</t>
  </si>
  <si>
    <t xml:space="preserve">Investment research; boots-on-the-ground due diligence</t>
  </si>
  <si>
    <t xml:space="preserve">Proactive Investors Mining</t>
  </si>
  <si>
    <t xml:space="preserve">https://www.proactiveinvestors.com</t>
  </si>
  <si>
    <t xml:space="preserve">Mining News / Interviews</t>
  </si>
  <si>
    <t xml:space="preserve">Proactive Investors</t>
  </si>
  <si>
    <t xml:space="preserve">Video interviews and news for TSX, ASX, LSE mining stocks</t>
  </si>
  <si>
    <t xml:space="preserve">Sprott Inc.</t>
  </si>
  <si>
    <t xml:space="preserve">https://sprott.com/investment-strategies/mining</t>
  </si>
  <si>
    <t xml:space="preserve">Precious Metals / Mining</t>
  </si>
  <si>
    <t xml:space="preserve">ETFs, funds, and research; Rick Rule legacy influence</t>
  </si>
  <si>
    <t xml:space="preserve">MINExCONSULTING Useful Links</t>
  </si>
  <si>
    <t xml:space="preserve">https://minexconsulting.com/useful-links</t>
  </si>
  <si>
    <t xml:space="preserve">Exploration Data Links</t>
  </si>
  <si>
    <t xml:space="preserve">Minex Consulting</t>
  </si>
  <si>
    <t xml:space="preserve">Curated link directory for mining exploration research</t>
  </si>
  <si>
    <t xml:space="preserve">Regulatory &amp; Filings</t>
  </si>
  <si>
    <t xml:space="preserve">SEDAR+</t>
  </si>
  <si>
    <t xml:space="preserve">https://www.sedarplus.ca</t>
  </si>
  <si>
    <t xml:space="preserve">Canadian Securities Filings</t>
  </si>
  <si>
    <t xml:space="preserve">English / French</t>
  </si>
  <si>
    <t xml:space="preserve">Canadian Securities Administrators</t>
  </si>
  <si>
    <t xml:space="preserve">NI 43-101 technical reports; annual/quarterly filings for TSX/TSXV</t>
  </si>
  <si>
    <t xml:space="preserve">SEC EDGAR</t>
  </si>
  <si>
    <t xml:space="preserve">https://www.sec.gov/cgi-bin/browse-edgar</t>
  </si>
  <si>
    <t xml:space="preserve">US Securities Filings</t>
  </si>
  <si>
    <t xml:space="preserve">U.S. Securities &amp; Exchange Commission</t>
  </si>
  <si>
    <t xml:space="preserve">10-K, 40-F, 6-K filings for US-listed mining companies</t>
  </si>
  <si>
    <t xml:space="preserve">ASX Announcements</t>
  </si>
  <si>
    <t xml:space="preserve">https://www2.asx.com.au/markets/trade-our-cash-market/announcements</t>
  </si>
  <si>
    <t xml:space="preserve">Australian Securities Filings</t>
  </si>
  <si>
    <t xml:space="preserve">ASX Ltd.</t>
  </si>
  <si>
    <t xml:space="preserve">ASX-listed mining company announcements and reports</t>
  </si>
  <si>
    <t xml:space="preserve">TMX Newsfile</t>
  </si>
  <si>
    <t xml:space="preserve">https://www.newsfilecorp.com</t>
  </si>
  <si>
    <t xml:space="preserve">Press Releases / SEDAR Agent</t>
  </si>
  <si>
    <t xml:space="preserve">SEDAR+ filing agent; mining press release distribution</t>
  </si>
  <si>
    <t xml:space="preserve">GlobeNewswire</t>
  </si>
  <si>
    <t xml:space="preserve">https://www.globenewswire.com</t>
  </si>
  <si>
    <t xml:space="preserve">Press Releases</t>
  </si>
  <si>
    <t xml:space="preserve">West Corporation</t>
  </si>
  <si>
    <t xml:space="preserve">Mining company press releases; global distribution</t>
  </si>
  <si>
    <t xml:space="preserve">Accesswire</t>
  </si>
  <si>
    <t xml:space="preserve">https://www.accesswire.com</t>
  </si>
  <si>
    <t xml:space="preserve">Accesswire / CISION</t>
  </si>
  <si>
    <t xml:space="preserve">Junior mining press release distribution service</t>
  </si>
  <si>
    <t xml:space="preserve">Government &amp; Surveys</t>
  </si>
  <si>
    <t xml:space="preserve">Natural Resources Canada (NRCan)</t>
  </si>
  <si>
    <t xml:space="preserve">https://natural-resources.canada.ca/our-natural-resources/minerals-mining</t>
  </si>
  <si>
    <t xml:space="preserve">Canadian Mining / Minerals</t>
  </si>
  <si>
    <t xml:space="preserve">Government of Canada</t>
  </si>
  <si>
    <t xml:space="preserve">Exploration expenditure data; mining statistics; policy</t>
  </si>
  <si>
    <t xml:space="preserve">USGS Mineral Resources Program</t>
  </si>
  <si>
    <t xml:space="preserve">https://www.usgs.gov/programs/mineral-resources-program</t>
  </si>
  <si>
    <t xml:space="preserve">US Minerals / Geology</t>
  </si>
  <si>
    <t xml:space="preserve">U.S. Geological Survey</t>
  </si>
  <si>
    <t xml:space="preserve">Mineral commodity summaries; MRDS database; Earth MRI</t>
  </si>
  <si>
    <t xml:space="preserve">Geoscience Australia</t>
  </si>
  <si>
    <t xml:space="preserve">https://www.ga.gov.au/scientific-topics/minerals</t>
  </si>
  <si>
    <t xml:space="preserve">Australian Minerals</t>
  </si>
  <si>
    <t xml:space="preserve">Australian Government</t>
  </si>
  <si>
    <t xml:space="preserve">Mineral resource assessments; exploration data</t>
  </si>
  <si>
    <t xml:space="preserve">British Geological Survey</t>
  </si>
  <si>
    <t xml:space="preserve">https://www.bgs.ac.uk/geology-projects/mineral-statistics</t>
  </si>
  <si>
    <t xml:space="preserve">Global Mineral Statistics</t>
  </si>
  <si>
    <t xml:space="preserve">UK / Global</t>
  </si>
  <si>
    <t xml:space="preserve">UKRI / BGS</t>
  </si>
  <si>
    <t xml:space="preserve">World mineral production data; risk lists</t>
  </si>
  <si>
    <t xml:space="preserve">Ontario Geological Survey</t>
  </si>
  <si>
    <t xml:space="preserve">https://www.geologyontario.mines.gov.on.ca</t>
  </si>
  <si>
    <t xml:space="preserve">Ontario Geology</t>
  </si>
  <si>
    <t xml:space="preserve">Canada (Ontario)</t>
  </si>
  <si>
    <t xml:space="preserve">Government of Ontario</t>
  </si>
  <si>
    <t xml:space="preserve">Geoscience data for Ontario mineral exploration</t>
  </si>
  <si>
    <t xml:space="preserve">BCRMA / BC Geological Survey</t>
  </si>
  <si>
    <t xml:space="preserve">https://www2.gov.bc.ca/gov/content/industry/mineral-exploration-mining</t>
  </si>
  <si>
    <t xml:space="preserve">BC Mining / Minerals</t>
  </si>
  <si>
    <t xml:space="preserve">Canada (BC)</t>
  </si>
  <si>
    <t xml:space="preserve">Government of British Columbia</t>
  </si>
  <si>
    <t xml:space="preserve">MINFILE database; mineral titles; geological publications</t>
  </si>
  <si>
    <t xml:space="preserve">Project Databases</t>
  </si>
  <si>
    <t xml:space="preserve">USGS MRDS</t>
  </si>
  <si>
    <t xml:space="preserve">https://mrdata.usgs.gov</t>
  </si>
  <si>
    <t xml:space="preserve">Mineral Deposits Worldwide</t>
  </si>
  <si>
    <t xml:space="preserve">Mineral Resources Data System; metallic/nonmetallic deposits globally</t>
  </si>
  <si>
    <t xml:space="preserve">Mindat.org</t>
  </si>
  <si>
    <t xml:space="preserve">https://www.mindat.org</t>
  </si>
  <si>
    <t xml:space="preserve">Mineral Deposits / Mineralogy</t>
  </si>
  <si>
    <t xml:space="preserve">Hudson Institute of Mineralogy</t>
  </si>
  <si>
    <t xml:space="preserve">World's largest mineral database; 1.4M+ photos; community-built since 1993</t>
  </si>
  <si>
    <t xml:space="preserve">S&amp;P Global Market Intelligence Mining</t>
  </si>
  <si>
    <t xml:space="preserve">https://www.spglobal.com/marketintelligence/en/campaigns/metals-mining</t>
  </si>
  <si>
    <t xml:space="preserve">Mining Intelligence</t>
  </si>
  <si>
    <t xml:space="preserve">Comprehensive mine/project database; formerly SNL Metals &amp; Mining</t>
  </si>
  <si>
    <t xml:space="preserve">USMIN Mineral Deposit Database</t>
  </si>
  <si>
    <t xml:space="preserve">https://www.usgs.gov/centers/gggsc/science/usmin-mineral-deposit-database</t>
  </si>
  <si>
    <t xml:space="preserve">US Mineral Deposits</t>
  </si>
  <si>
    <t xml:space="preserve">Authoritative source for US mines and mineral deposits; critical minerals focus</t>
  </si>
  <si>
    <t xml:space="preserve">GeologyNet</t>
  </si>
  <si>
    <t xml:space="preserve">https://www.geologynet.com</t>
  </si>
  <si>
    <t xml:space="preserve">Geological Data Directory</t>
  </si>
  <si>
    <t xml:space="preserve">Directory of geological surveys, maps, and data by country</t>
  </si>
  <si>
    <t xml:space="preserve">Mining Data Solutions (MDS)</t>
  </si>
  <si>
    <t xml:space="preserve">https://mds.sprott.com</t>
  </si>
  <si>
    <t xml:space="preserve">Mining Project Data</t>
  </si>
  <si>
    <t xml:space="preserve">Technical mining project data and analytics platform</t>
  </si>
  <si>
    <t xml:space="preserve">VRIFY</t>
  </si>
  <si>
    <t xml:space="preserve">https://vrify.com</t>
  </si>
  <si>
    <t xml:space="preserve">3D Mine Models / Presentations</t>
  </si>
  <si>
    <t xml:space="preserve">VRIFY Technology Inc.</t>
  </si>
  <si>
    <t xml:space="preserve">3D interactive mine site visualizations and company presentations</t>
  </si>
  <si>
    <t xml:space="preserve">Industry Associations</t>
  </si>
  <si>
    <t xml:space="preserve">PDAC</t>
  </si>
  <si>
    <t xml:space="preserve">https://www.pdac.ca</t>
  </si>
  <si>
    <t xml:space="preserve">Mineral Exploration</t>
  </si>
  <si>
    <t xml:space="preserve">Prospectors &amp; Developers Assoc. of Canada</t>
  </si>
  <si>
    <t xml:space="preserve">Hosts world's largest mining convention; exploration advocacy</t>
  </si>
  <si>
    <t xml:space="preserve">Mining Association of Canada (MAC)</t>
  </si>
  <si>
    <t xml:space="preserve">https://mining.ca</t>
  </si>
  <si>
    <t xml:space="preserve">Canadian Mining</t>
  </si>
  <si>
    <t xml:space="preserve">Mining Association of Canada</t>
  </si>
  <si>
    <t xml:space="preserve">National industry body; Towards Sustainable Mining (TSM) program</t>
  </si>
  <si>
    <t xml:space="preserve">Canadian Institute of Mining (CIM)</t>
  </si>
  <si>
    <t xml:space="preserve">https://www.cim.org</t>
  </si>
  <si>
    <t xml:space="preserve">Mining Professionals</t>
  </si>
  <si>
    <t xml:space="preserve">Membership</t>
  </si>
  <si>
    <t xml:space="preserve">CIM</t>
  </si>
  <si>
    <t xml:space="preserve">Technical institute; 10,000+ members; founded 125+ years ago</t>
  </si>
  <si>
    <t xml:space="preserve">National Mining Association (NMA)</t>
  </si>
  <si>
    <t xml:space="preserve">https://nma.org</t>
  </si>
  <si>
    <t xml:space="preserve">US Mining Advocacy</t>
  </si>
  <si>
    <t xml:space="preserve">NMA</t>
  </si>
  <si>
    <t xml:space="preserve">US mining industry advocacy; hosts MINExpo</t>
  </si>
  <si>
    <t xml:space="preserve">ICMM</t>
  </si>
  <si>
    <t xml:space="preserve">https://www.icmm.com</t>
  </si>
  <si>
    <t xml:space="preserve">Responsible Mining</t>
  </si>
  <si>
    <t xml:space="preserve">International Council on Mining &amp; Metals</t>
  </si>
  <si>
    <t xml:space="preserve">21 company members + 45 associations; sustainable mining leadership</t>
  </si>
  <si>
    <t xml:space="preserve">Gold Industry</t>
  </si>
  <si>
    <t xml:space="preserve">Gold market data; Goldhub platform; GLD SPDR Gold ETF sponsor</t>
  </si>
  <si>
    <t xml:space="preserve">The Silver Institute</t>
  </si>
  <si>
    <t xml:space="preserve">https://www.silverinstitute.org</t>
  </si>
  <si>
    <t xml:space="preserve">Silver Industry</t>
  </si>
  <si>
    <t xml:space="preserve">Annual World Silver Survey; supply/demand data</t>
  </si>
  <si>
    <t xml:space="preserve">SME (Mining Engineering)</t>
  </si>
  <si>
    <t xml:space="preserve">https://www.smenet.org</t>
  </si>
  <si>
    <t xml:space="preserve">USA / Global</t>
  </si>
  <si>
    <t xml:space="preserve">Society for Mining, Metallurgy &amp; Exploration</t>
  </si>
  <si>
    <t xml:space="preserve">30,000+ members; S-K 1300 reporting standards</t>
  </si>
  <si>
    <t xml:space="preserve">AusIMM</t>
  </si>
  <si>
    <t xml:space="preserve">https://www.ausimm.com</t>
  </si>
  <si>
    <t xml:space="preserve">Australia / Global</t>
  </si>
  <si>
    <t xml:space="preserve">Australasian Institute of Mining &amp; Metallurgy</t>
  </si>
  <si>
    <t xml:space="preserve">14,000+ members from 110 countries; JORC Code custodian</t>
  </si>
  <si>
    <t xml:space="preserve">AME BC</t>
  </si>
  <si>
    <t xml:space="preserve">https://amebc.ca</t>
  </si>
  <si>
    <t xml:space="preserve">Mineral Exploration (BC)</t>
  </si>
  <si>
    <t xml:space="preserve">Association for Mineral Exploration</t>
  </si>
  <si>
    <t xml:space="preserve">BC mineral exploration advocacy; hosts Roundup conference</t>
  </si>
  <si>
    <t xml:space="preserve">International Copper Association</t>
  </si>
  <si>
    <t xml:space="preserve">https://copperalliance.org</t>
  </si>
  <si>
    <t xml:space="preserve">Copper Industry</t>
  </si>
  <si>
    <t xml:space="preserve">Copper market data; promotes copper use and sustainability</t>
  </si>
  <si>
    <t xml:space="preserve">The Copper Mark</t>
  </si>
  <si>
    <t xml:space="preserve">https://coppermark.org</t>
  </si>
  <si>
    <t xml:space="preserve">Responsible Copper</t>
  </si>
  <si>
    <t xml:space="preserve">Responsible production assurance framework for copper</t>
  </si>
  <si>
    <t xml:space="preserve">World Nuclear Association</t>
  </si>
  <si>
    <t xml:space="preserve">https://world-nuclear.org</t>
  </si>
  <si>
    <t xml:space="preserve">Uranium / Nuclear</t>
  </si>
  <si>
    <t xml:space="preserve">Nuclear power advocacy; uranium market data; reactor database</t>
  </si>
  <si>
    <t xml:space="preserve">International Lithium Association</t>
  </si>
  <si>
    <t xml:space="preserve">https://lithium.org</t>
  </si>
  <si>
    <t xml:space="preserve">Lithium Industry</t>
  </si>
  <si>
    <t xml:space="preserve">ILiA</t>
  </si>
  <si>
    <t xml:space="preserve">Lithium industry sustainability standards and advocacy</t>
  </si>
  <si>
    <t xml:space="preserve">Conferences &amp; Events</t>
  </si>
  <si>
    <t xml:space="preserve">PDAC Convention</t>
  </si>
  <si>
    <t xml:space="preserve">https://www.pdac.ca/convention</t>
  </si>
  <si>
    <t xml:space="preserve">Mining Convention</t>
  </si>
  <si>
    <t xml:space="preserve">Paid</t>
  </si>
  <si>
    <t xml:space="preserve">World's premier mining convention; 27,000+ attendees; Toronto; March annually</t>
  </si>
  <si>
    <t xml:space="preserve">Mining Indaba</t>
  </si>
  <si>
    <t xml:space="preserve">https://miningindaba.com</t>
  </si>
  <si>
    <t xml:space="preserve">African Mining Investment</t>
  </si>
  <si>
    <t xml:space="preserve">Africa</t>
  </si>
  <si>
    <t xml:space="preserve">Hyve Group</t>
  </si>
  <si>
    <t xml:space="preserve">Africa's largest mining investment conference; Cape Town; February</t>
  </si>
  <si>
    <t xml:space="preserve">IMARC</t>
  </si>
  <si>
    <t xml:space="preserve">https://imarcglobal.com</t>
  </si>
  <si>
    <t xml:space="preserve">Mining &amp; Resources Conference</t>
  </si>
  <si>
    <t xml:space="preserve">Beacon Events</t>
  </si>
  <si>
    <t xml:space="preserve">International Mining and Resources Conference; Melbourne</t>
  </si>
  <si>
    <t xml:space="preserve">AME Roundup</t>
  </si>
  <si>
    <t xml:space="preserve">https://roundup.amebc.ca</t>
  </si>
  <si>
    <t xml:space="preserve">Vancouver; mineral exploration and development; January</t>
  </si>
  <si>
    <t xml:space="preserve">Precious Metals Summit</t>
  </si>
  <si>
    <t xml:space="preserve">https://www.precioussummit.com</t>
  </si>
  <si>
    <t xml:space="preserve">Precious Metals Investment</t>
  </si>
  <si>
    <t xml:space="preserve">By Invitation</t>
  </si>
  <si>
    <t xml:space="preserve">PMS Conferences LLC</t>
  </si>
  <si>
    <t xml:space="preserve">Beaver Creek (Sept) &amp; Zurich (Nov); invitation-only; premier PM conference</t>
  </si>
  <si>
    <t xml:space="preserve">Denver Gold Forum</t>
  </si>
  <si>
    <t xml:space="preserve">https://www.denvergold.org</t>
  </si>
  <si>
    <t xml:space="preserve">Gold Mining</t>
  </si>
  <si>
    <t xml:space="preserve">Denver Gold Group</t>
  </si>
  <si>
    <t xml:space="preserve">Premier forum for gold companies; also Gold Forum Americas &amp; Europe</t>
  </si>
  <si>
    <t xml:space="preserve">121 Mining Investment</t>
  </si>
  <si>
    <t xml:space="preserve">https://www.121mininginvestment.com</t>
  </si>
  <si>
    <t xml:space="preserve">London, Dubai, New York, Cape Town; curated 1-on-1 meetings</t>
  </si>
  <si>
    <t xml:space="preserve">Mines and Money</t>
  </si>
  <si>
    <t xml:space="preserve">https://minesandmoney.com</t>
  </si>
  <si>
    <t xml:space="preserve">London and other cities; mining investment and deal-making</t>
  </si>
  <si>
    <t xml:space="preserve">MINExpo International</t>
  </si>
  <si>
    <t xml:space="preserve">https://www.minexpo.com</t>
  </si>
  <si>
    <t xml:space="preserve">Mining Equipment Expo</t>
  </si>
  <si>
    <t xml:space="preserve">Las Vegas; every 4 years; world's largest mining equipment show</t>
  </si>
  <si>
    <t xml:space="preserve">BMO Global Metals &amp; Mining Conference</t>
  </si>
  <si>
    <t xml:space="preserve">https://capitalmarkets.bmo.com</t>
  </si>
  <si>
    <t xml:space="preserve">BMO Capital Markets</t>
  </si>
  <si>
    <t xml:space="preserve">Annual bank-hosted conference; Hollywood, FL; February</t>
  </si>
  <si>
    <t xml:space="preserve">Swiss Mining Institute</t>
  </si>
  <si>
    <t xml:space="preserve">https://swissmininginstitute.ch</t>
  </si>
  <si>
    <t xml:space="preserve">Europe / Global</t>
  </si>
  <si>
    <t xml:space="preserve">Zurich; 100+ companies; 1,000+ professional investors</t>
  </si>
  <si>
    <t xml:space="preserve">Scotiabank Mining Conference</t>
  </si>
  <si>
    <t xml:space="preserve">https://www.scotiabank.com/ca/en/about/economics-research.html</t>
  </si>
  <si>
    <t xml:space="preserve">Scotiabank</t>
  </si>
  <si>
    <t xml:space="preserve">Annual bank-hosted conference; Toronto; November-December</t>
  </si>
  <si>
    <t xml:space="preserve">Podcasts &amp; Media</t>
  </si>
  <si>
    <t xml:space="preserve">Mining Stock Education Podcast</t>
  </si>
  <si>
    <t xml:space="preserve">Top-rated; interviews with execs and analysts; since 2015</t>
  </si>
  <si>
    <t xml:space="preserve">Crux Investor Podcast</t>
  </si>
  <si>
    <t xml:space="preserve">https://www.cruxinvestor.com/podcasts</t>
  </si>
  <si>
    <t xml:space="preserve">Company interviews; cuts through jargon; 45,000+ subscribers</t>
  </si>
  <si>
    <t xml:space="preserve">Mining Stock Daily</t>
  </si>
  <si>
    <t xml:space="preserve">https://www.miningstockdaily.com</t>
  </si>
  <si>
    <t xml:space="preserve">Mining Stocks</t>
  </si>
  <si>
    <t xml:space="preserve">Trevor Hall</t>
  </si>
  <si>
    <t xml:space="preserve">Daily CEO interviews and market updates</t>
  </si>
  <si>
    <t xml:space="preserve">Money of Mine</t>
  </si>
  <si>
    <t xml:space="preserve">https://moneyofmine.com</t>
  </si>
  <si>
    <t xml:space="preserve">Mining Markets</t>
  </si>
  <si>
    <t xml:space="preserve">Mineral Media</t>
  </si>
  <si>
    <t xml:space="preserve">Ex-bankers and miners; Australian focus; top Apple rating 4.9/5</t>
  </si>
  <si>
    <t xml:space="preserve">Life of Mine</t>
  </si>
  <si>
    <t xml:space="preserve">https://www.lifeofminepodcast.com</t>
  </si>
  <si>
    <t xml:space="preserve">Mining Industry</t>
  </si>
  <si>
    <t xml:space="preserve">Matt Michael</t>
  </si>
  <si>
    <t xml:space="preserve">Industry insights and human interest stories</t>
  </si>
  <si>
    <t xml:space="preserve">Dig Deep Mining Podcast</t>
  </si>
  <si>
    <t xml:space="preserve">https://mining-international.org</t>
  </si>
  <si>
    <t xml:space="preserve">Rob Tyson / Mining International</t>
  </si>
  <si>
    <t xml:space="preserve">Industry news, interviews with mining leaders</t>
  </si>
  <si>
    <t xml:space="preserve">Uranium Insider</t>
  </si>
  <si>
    <t xml:space="preserve">https://uraniuminsider.com</t>
  </si>
  <si>
    <t xml:space="preserve">Justin Huhn</t>
  </si>
  <si>
    <t xml:space="preserve">Nuclear power and uranium sector analysis</t>
  </si>
  <si>
    <t xml:space="preserve">Global Lithium Podcast</t>
  </si>
  <si>
    <t xml:space="preserve">https://www.joelowry.com</t>
  </si>
  <si>
    <t xml:space="preserve">Lithium / Battery Metals</t>
  </si>
  <si>
    <t xml:space="preserve">Joe Lowry (Mr. Lithium)</t>
  </si>
  <si>
    <t xml:space="preserve">30+ year industry veteran; downloaded in 181 countries</t>
  </si>
  <si>
    <t xml:space="preserve">Korelin Economics Report</t>
  </si>
  <si>
    <t xml:space="preserve">https://www.kereport.com</t>
  </si>
  <si>
    <t xml:space="preserve">Mining / Economics</t>
  </si>
  <si>
    <t xml:space="preserve">Al Korelin</t>
  </si>
  <si>
    <t xml:space="preserve">2M+ listeners; economics and resource investing radio show</t>
  </si>
  <si>
    <t xml:space="preserve">Soar Financial Podcast</t>
  </si>
  <si>
    <t xml:space="preserve">https://soarfinancial.com</t>
  </si>
  <si>
    <t xml:space="preserve">Mining Macro</t>
  </si>
  <si>
    <t xml:space="preserve">Kai Hoffmann</t>
  </si>
  <si>
    <t xml:space="preserve">Macro analysis with influential investors and CEOs</t>
  </si>
  <si>
    <t xml:space="preserve">Exploring Mining Podcast</t>
  </si>
  <si>
    <t xml:space="preserve">https://www.investorideas.com/Audio/Podcasts-Exploring-Mining.asp</t>
  </si>
  <si>
    <t xml:space="preserve">Award-winning podcast; TSX/TSXV/ASX company interviews</t>
  </si>
  <si>
    <t xml:space="preserve">Mining Minds Podcast</t>
  </si>
  <si>
    <t xml:space="preserve">https://www.miningmindspodcast.com</t>
  </si>
  <si>
    <t xml:space="preserve">Derek Grover / Dino Brunson</t>
  </si>
  <si>
    <t xml:space="preserve">From the dig face; miner culture and community stories</t>
  </si>
  <si>
    <t xml:space="preserve">Community &amp; Forums</t>
  </si>
  <si>
    <t xml:space="preserve">CEO.CA Community</t>
  </si>
  <si>
    <t xml:space="preserve">Real-time stock chat with CEOs; insider alerts; most active for juniors</t>
  </si>
  <si>
    <t xml:space="preserve">Stockhouse Bull Boards</t>
  </si>
  <si>
    <t xml:space="preserve">https://stockhouse.com/companies/bullboards</t>
  </si>
  <si>
    <t xml:space="preserve">Stockhouse Media Corp.</t>
  </si>
  <si>
    <t xml:space="preserve">Discussion boards for TSX/TSXV mining stocks</t>
  </si>
  <si>
    <t xml:space="preserve">Reddit r/mining</t>
  </si>
  <si>
    <t xml:space="preserve">https://www.reddit.com/r/mining</t>
  </si>
  <si>
    <t xml:space="preserve">Reddit Inc.</t>
  </si>
  <si>
    <t xml:space="preserve">Mining industry professionals and enthusiasts</t>
  </si>
  <si>
    <t xml:space="preserve">Reddit r/MiningStocks</t>
  </si>
  <si>
    <t xml:space="preserve">https://www.reddit.com/r/MiningStocks</t>
  </si>
  <si>
    <t xml:space="preserve">Mining stock discussion and DD posts</t>
  </si>
  <si>
    <t xml:space="preserve">Reddit r/GoldMining</t>
  </si>
  <si>
    <t xml:space="preserve">https://www.reddit.com/r/GoldMining</t>
  </si>
  <si>
    <t xml:space="preserve">Gold mining discussion and news sharing</t>
  </si>
  <si>
    <t xml:space="preserve">HotCopper Mining</t>
  </si>
  <si>
    <t xml:space="preserve">https://hotcopper.com.au</t>
  </si>
  <si>
    <t xml:space="preserve">ASX Mining Stocks</t>
  </si>
  <si>
    <t xml:space="preserve">HotCopper Holdings Ltd.</t>
  </si>
  <si>
    <t xml:space="preserve">Australia's largest stock forum; very active mining threads</t>
  </si>
  <si>
    <t xml:space="preserve">Mining Twitter/X Community</t>
  </si>
  <si>
    <t xml:space="preserve">https://x.com/search?q=%23mining</t>
  </si>
  <si>
    <t xml:space="preserve">X Corp.</t>
  </si>
  <si>
    <t xml:space="preserve">Mining FinTwit; hashtags #mining #gold #juniormining; key influencers</t>
  </si>
  <si>
    <t xml:space="preserve">Education &amp; Research</t>
  </si>
  <si>
    <t xml:space="preserve">Geology for Investors</t>
  </si>
  <si>
    <t xml:space="preserve">https://www.geologyforinvestors.com</t>
  </si>
  <si>
    <t xml:space="preserve">Mining Geology Education</t>
  </si>
  <si>
    <t xml:space="preserve">Geology for Investors LLC</t>
  </si>
  <si>
    <t xml:space="preserve">Geology education tailored for mining investors</t>
  </si>
  <si>
    <t xml:space="preserve">Colorado School of Mines</t>
  </si>
  <si>
    <t xml:space="preserve">https://www.mines.edu</t>
  </si>
  <si>
    <t xml:space="preserve">Free (web)</t>
  </si>
  <si>
    <t xml:space="preserve">Premier mining university; mineral economics research</t>
  </si>
  <si>
    <t xml:space="preserve">CRIRSCO</t>
  </si>
  <si>
    <t xml:space="preserve">https://www.crirsco.com</t>
  </si>
  <si>
    <t xml:space="preserve">Reporting Standards</t>
  </si>
  <si>
    <t xml:space="preserve">International mineral reporting template; harmonizes JORC, NI 43-101, etc.</t>
  </si>
  <si>
    <t xml:space="preserve">IRMA (Responsible Mining Assurance)</t>
  </si>
  <si>
    <t xml:space="preserve">https://responsiblemining.net</t>
  </si>
  <si>
    <t xml:space="preserve">Responsible Mining Standards</t>
  </si>
  <si>
    <t xml:space="preserve">Initiative for Responsible Mining Assurance</t>
  </si>
  <si>
    <t xml:space="preserve">Independent third-party mine site certification standard</t>
  </si>
  <si>
    <t xml:space="preserve">https://minexconsulting.com</t>
  </si>
  <si>
    <t xml:space="preserve">Exploration Economics</t>
  </si>
  <si>
    <t xml:space="preserve">Richard Schodde</t>
  </si>
  <si>
    <t xml:space="preserve">Leading exploration economics research; useful links directory</t>
  </si>
  <si>
    <t xml:space="preserve">Mining Fundamentals (Sprott)</t>
  </si>
  <si>
    <t xml:space="preserve">https://sprott.com/investment-strategies/physical-bullion-trusts/gold/why-invest-in-gold</t>
  </si>
  <si>
    <t xml:space="preserve">Gold / PM Investment Education</t>
  </si>
  <si>
    <t xml:space="preserve">Educational resources on precious metals investing</t>
  </si>
  <si>
    <t xml:space="preserve">Commodity-Specific</t>
  </si>
  <si>
    <t xml:space="preserve">Uranium</t>
  </si>
  <si>
    <t xml:space="preserve">Premium uranium/nuclear sector analysis and stock picks</t>
  </si>
  <si>
    <t xml:space="preserve">Battery Metals Report</t>
  </si>
  <si>
    <t xml:space="preserve">https://batterymetalsreport.com</t>
  </si>
  <si>
    <t xml:space="preserve">Lithium / Cobalt / Nickel</t>
  </si>
  <si>
    <t xml:space="preserve">Various</t>
  </si>
  <si>
    <t xml:space="preserve">Battery metals and EV supply chain news</t>
  </si>
  <si>
    <t xml:space="preserve">Cobalt Institute</t>
  </si>
  <si>
    <t xml:space="preserve">https://www.cobaltinstitute.org</t>
  </si>
  <si>
    <t xml:space="preserve">Cobalt</t>
  </si>
  <si>
    <t xml:space="preserve">Cobalt market data; responsible sourcing</t>
  </si>
  <si>
    <t xml:space="preserve">International Nickel Study Group</t>
  </si>
  <si>
    <t xml:space="preserve">https://insg.org</t>
  </si>
  <si>
    <t xml:space="preserve">Nickel</t>
  </si>
  <si>
    <t xml:space="preserve">INSG</t>
  </si>
  <si>
    <t xml:space="preserve">Intergovernmental org; nickel market statistics</t>
  </si>
  <si>
    <t xml:space="preserve">International Lead and Zinc Study Group</t>
  </si>
  <si>
    <t xml:space="preserve">https://www.ilzsg.org</t>
  </si>
  <si>
    <t xml:space="preserve">Lead / Zinc</t>
  </si>
  <si>
    <t xml:space="preserve">ILZSG</t>
  </si>
  <si>
    <t xml:space="preserve">Intergovernmental org; lead/zinc supply/demand statistics</t>
  </si>
  <si>
    <t xml:space="preserve">International Copper Study Group</t>
  </si>
  <si>
    <t xml:space="preserve">https://icsg.org</t>
  </si>
  <si>
    <t xml:space="preserve">Copper</t>
  </si>
  <si>
    <t xml:space="preserve">ICSG</t>
  </si>
  <si>
    <t xml:space="preserve">Intergovernmental org; copper market statistics</t>
  </si>
  <si>
    <t xml:space="preserve">Bullion &amp; Physical Metals</t>
  </si>
  <si>
    <t xml:space="preserve">Kitco Buy/Sell</t>
  </si>
  <si>
    <t xml:space="preserve">https://online.kitco.com</t>
  </si>
  <si>
    <t xml:space="preserve">Gold / Silver Bullion</t>
  </si>
  <si>
    <t xml:space="preserve">Leading online bullion dealer since 1977; pool and allocated storage</t>
  </si>
  <si>
    <t xml:space="preserve">APMEX</t>
  </si>
  <si>
    <t xml:space="preserve">https://www.apmex.com</t>
  </si>
  <si>
    <t xml:space="preserve">APMEX Inc.</t>
  </si>
  <si>
    <t xml:space="preserve">One of largest online bullion dealers in USA</t>
  </si>
  <si>
    <t xml:space="preserve">Sprott Money</t>
  </si>
  <si>
    <t xml:space="preserve">https://www.sprottmoney.com</t>
  </si>
  <si>
    <t xml:space="preserve">Canadian bullion dealer; blog with precious metals commentary</t>
  </si>
  <si>
    <t xml:space="preserve">SD Bullion</t>
  </si>
  <si>
    <t xml:space="preserve">https://sdbullion.com</t>
  </si>
  <si>
    <t xml:space="preserve">SD Bullion Inc.</t>
  </si>
  <si>
    <t xml:space="preserve">Low-premium bullion dealer; educational content</t>
  </si>
  <si>
    <t xml:space="preserve">Total Sites</t>
  </si>
  <si>
    <t xml:space="preserve">Membership / By Invitation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</si>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</sst>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6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3" min="3" style="0" width="44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10"/>
    <col collapsed="false" customWidth="true" hidden="false" outlineLevel="0" max="10" min="10" style="0" width="4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3" t="s">
        <v>18</v>
      </c>
      <c r="J2" s="2" t="s">
        <v>19</v>
      </c>
    </row>
    <row r="3" customFormat="false" ht="23.85" hidden="false" customHeight="false" outlineLevel="0" collapsed="false">
      <c r="A3" s="4" t="s">
        <v>10</v>
      </c>
      <c r="B3" s="4" t="s">
        <v>20</v>
      </c>
      <c r="C3" s="4" t="s">
        <v>21</v>
      </c>
      <c r="D3" s="4" t="s">
        <v>22</v>
      </c>
      <c r="E3" s="5" t="s">
        <v>23</v>
      </c>
      <c r="F3" s="5" t="s">
        <v>15</v>
      </c>
      <c r="G3" s="5" t="s">
        <v>16</v>
      </c>
      <c r="H3" s="4" t="s">
        <v>24</v>
      </c>
      <c r="I3" s="5" t="s">
        <v>18</v>
      </c>
      <c r="J3" s="4" t="s">
        <v>25</v>
      </c>
    </row>
    <row r="4" customFormat="false" ht="23.85" hidden="false" customHeight="false" outlineLevel="0" collapsed="false">
      <c r="A4" s="2" t="s">
        <v>10</v>
      </c>
      <c r="B4" s="2" t="s">
        <v>26</v>
      </c>
      <c r="C4" s="2" t="s">
        <v>27</v>
      </c>
      <c r="D4" s="2" t="s">
        <v>28</v>
      </c>
      <c r="E4" s="3" t="s">
        <v>14</v>
      </c>
      <c r="F4" s="3" t="s">
        <v>29</v>
      </c>
      <c r="G4" s="3" t="s">
        <v>16</v>
      </c>
      <c r="H4" s="2" t="s">
        <v>30</v>
      </c>
      <c r="I4" s="3" t="s">
        <v>18</v>
      </c>
      <c r="J4" s="2" t="s">
        <v>31</v>
      </c>
    </row>
    <row r="5" customFormat="false" ht="23.85" hidden="false" customHeight="false" outlineLevel="0" collapsed="false">
      <c r="A5" s="4" t="s">
        <v>10</v>
      </c>
      <c r="B5" s="4" t="s">
        <v>32</v>
      </c>
      <c r="C5" s="4" t="s">
        <v>33</v>
      </c>
      <c r="D5" s="4" t="s">
        <v>34</v>
      </c>
      <c r="E5" s="5" t="s">
        <v>14</v>
      </c>
      <c r="F5" s="5" t="s">
        <v>29</v>
      </c>
      <c r="G5" s="5" t="s">
        <v>16</v>
      </c>
      <c r="H5" s="4" t="s">
        <v>30</v>
      </c>
      <c r="I5" s="5" t="s">
        <v>18</v>
      </c>
      <c r="J5" s="4" t="s">
        <v>35</v>
      </c>
    </row>
    <row r="6" customFormat="false" ht="15" hidden="false" customHeight="false" outlineLevel="0" collapsed="false">
      <c r="A6" s="2" t="s">
        <v>10</v>
      </c>
      <c r="B6" s="2" t="s">
        <v>36</v>
      </c>
      <c r="C6" s="2" t="s">
        <v>37</v>
      </c>
      <c r="D6" s="2" t="s">
        <v>28</v>
      </c>
      <c r="E6" s="3" t="s">
        <v>38</v>
      </c>
      <c r="F6" s="3" t="s">
        <v>29</v>
      </c>
      <c r="G6" s="3" t="s">
        <v>16</v>
      </c>
      <c r="H6" s="2" t="s">
        <v>30</v>
      </c>
      <c r="I6" s="3" t="s">
        <v>18</v>
      </c>
      <c r="J6" s="2" t="s">
        <v>39</v>
      </c>
    </row>
    <row r="7" customFormat="false" ht="23.85" hidden="false" customHeight="false" outlineLevel="0" collapsed="false">
      <c r="A7" s="4" t="s">
        <v>10</v>
      </c>
      <c r="B7" s="4" t="s">
        <v>40</v>
      </c>
      <c r="C7" s="4" t="s">
        <v>41</v>
      </c>
      <c r="D7" s="4" t="s">
        <v>13</v>
      </c>
      <c r="E7" s="5" t="s">
        <v>42</v>
      </c>
      <c r="F7" s="5" t="s">
        <v>15</v>
      </c>
      <c r="G7" s="5" t="s">
        <v>16</v>
      </c>
      <c r="H7" s="4" t="s">
        <v>43</v>
      </c>
      <c r="I7" s="5" t="s">
        <v>18</v>
      </c>
      <c r="J7" s="4" t="s">
        <v>44</v>
      </c>
    </row>
    <row r="8" customFormat="false" ht="15" hidden="false" customHeight="false" outlineLevel="0" collapsed="false">
      <c r="A8" s="2" t="s">
        <v>10</v>
      </c>
      <c r="B8" s="2" t="s">
        <v>45</v>
      </c>
      <c r="C8" s="2" t="s">
        <v>46</v>
      </c>
      <c r="D8" s="2" t="s">
        <v>13</v>
      </c>
      <c r="E8" s="3" t="s">
        <v>47</v>
      </c>
      <c r="F8" s="3" t="s">
        <v>48</v>
      </c>
      <c r="G8" s="3" t="s">
        <v>16</v>
      </c>
      <c r="H8" s="2" t="s">
        <v>49</v>
      </c>
      <c r="I8" s="3" t="s">
        <v>18</v>
      </c>
      <c r="J8" s="2" t="s">
        <v>50</v>
      </c>
    </row>
    <row r="9" customFormat="false" ht="15" hidden="false" customHeight="false" outlineLevel="0" collapsed="false">
      <c r="A9" s="4" t="s">
        <v>10</v>
      </c>
      <c r="B9" s="4" t="s">
        <v>51</v>
      </c>
      <c r="C9" s="4" t="s">
        <v>52</v>
      </c>
      <c r="D9" s="4" t="s">
        <v>51</v>
      </c>
      <c r="E9" s="5" t="s">
        <v>14</v>
      </c>
      <c r="F9" s="5" t="s">
        <v>48</v>
      </c>
      <c r="G9" s="5" t="s">
        <v>16</v>
      </c>
      <c r="H9" s="4" t="s">
        <v>53</v>
      </c>
      <c r="I9" s="5" t="s">
        <v>18</v>
      </c>
      <c r="J9" s="4" t="s">
        <v>54</v>
      </c>
    </row>
    <row r="10" customFormat="false" ht="15" hidden="false" customHeight="false" outlineLevel="0" collapsed="false">
      <c r="A10" s="2" t="s">
        <v>10</v>
      </c>
      <c r="B10" s="2" t="s">
        <v>55</v>
      </c>
      <c r="C10" s="2" t="s">
        <v>56</v>
      </c>
      <c r="D10" s="2" t="s">
        <v>57</v>
      </c>
      <c r="E10" s="3" t="s">
        <v>14</v>
      </c>
      <c r="F10" s="3" t="s">
        <v>48</v>
      </c>
      <c r="G10" s="3" t="s">
        <v>16</v>
      </c>
      <c r="H10" s="2" t="s">
        <v>58</v>
      </c>
      <c r="I10" s="3" t="s">
        <v>18</v>
      </c>
      <c r="J10" s="2" t="s">
        <v>59</v>
      </c>
    </row>
    <row r="11" customFormat="false" ht="15" hidden="false" customHeight="false" outlineLevel="0" collapsed="false">
      <c r="A11" s="4" t="s">
        <v>10</v>
      </c>
      <c r="B11" s="4" t="s">
        <v>60</v>
      </c>
      <c r="C11" s="4" t="s">
        <v>61</v>
      </c>
      <c r="D11" s="4" t="s">
        <v>62</v>
      </c>
      <c r="E11" s="5" t="s">
        <v>14</v>
      </c>
      <c r="F11" s="5" t="s">
        <v>29</v>
      </c>
      <c r="G11" s="5" t="s">
        <v>16</v>
      </c>
      <c r="H11" s="4" t="s">
        <v>63</v>
      </c>
      <c r="I11" s="5" t="s">
        <v>18</v>
      </c>
      <c r="J11" s="4" t="s">
        <v>64</v>
      </c>
    </row>
    <row r="12" customFormat="false" ht="15" hidden="false" customHeight="false" outlineLevel="0" collapsed="false">
      <c r="A12" s="2" t="s">
        <v>10</v>
      </c>
      <c r="B12" s="2" t="s">
        <v>65</v>
      </c>
      <c r="C12" s="2" t="s">
        <v>66</v>
      </c>
      <c r="D12" s="2" t="s">
        <v>67</v>
      </c>
      <c r="E12" s="3" t="s">
        <v>14</v>
      </c>
      <c r="F12" s="3" t="s">
        <v>48</v>
      </c>
      <c r="G12" s="3" t="s">
        <v>16</v>
      </c>
      <c r="H12" s="2" t="s">
        <v>68</v>
      </c>
      <c r="I12" s="3" t="s">
        <v>18</v>
      </c>
      <c r="J12" s="2" t="s">
        <v>69</v>
      </c>
    </row>
    <row r="13" customFormat="false" ht="15" hidden="false" customHeight="false" outlineLevel="0" collapsed="false">
      <c r="A13" s="4" t="s">
        <v>10</v>
      </c>
      <c r="B13" s="4" t="s">
        <v>70</v>
      </c>
      <c r="C13" s="4" t="s">
        <v>71</v>
      </c>
      <c r="D13" s="4" t="s">
        <v>13</v>
      </c>
      <c r="E13" s="5" t="s">
        <v>47</v>
      </c>
      <c r="F13" s="5" t="s">
        <v>48</v>
      </c>
      <c r="G13" s="5" t="s">
        <v>16</v>
      </c>
      <c r="H13" s="4" t="s">
        <v>72</v>
      </c>
      <c r="I13" s="5" t="s">
        <v>18</v>
      </c>
      <c r="J13" s="4" t="s">
        <v>73</v>
      </c>
    </row>
    <row r="14" customFormat="false" ht="15" hidden="false" customHeight="false" outlineLevel="0" collapsed="false">
      <c r="A14" s="2" t="s">
        <v>10</v>
      </c>
      <c r="B14" s="2" t="s">
        <v>74</v>
      </c>
      <c r="C14" s="2" t="s">
        <v>75</v>
      </c>
      <c r="D14" s="2" t="s">
        <v>13</v>
      </c>
      <c r="E14" s="3" t="s">
        <v>38</v>
      </c>
      <c r="F14" s="3" t="s">
        <v>48</v>
      </c>
      <c r="G14" s="3" t="s">
        <v>16</v>
      </c>
      <c r="H14" s="2" t="s">
        <v>76</v>
      </c>
      <c r="I14" s="3" t="s">
        <v>18</v>
      </c>
      <c r="J14" s="2" t="s">
        <v>77</v>
      </c>
    </row>
    <row r="15" customFormat="false" ht="15" hidden="false" customHeight="false" outlineLevel="0" collapsed="false">
      <c r="A15" s="4" t="s">
        <v>10</v>
      </c>
      <c r="B15" s="4" t="s">
        <v>78</v>
      </c>
      <c r="C15" s="4" t="s">
        <v>79</v>
      </c>
      <c r="D15" s="4" t="s">
        <v>80</v>
      </c>
      <c r="E15" s="5" t="s">
        <v>14</v>
      </c>
      <c r="F15" s="5" t="s">
        <v>15</v>
      </c>
      <c r="G15" s="5" t="s">
        <v>16</v>
      </c>
      <c r="H15" s="4" t="s">
        <v>81</v>
      </c>
      <c r="I15" s="5" t="s">
        <v>18</v>
      </c>
      <c r="J15" s="4" t="s">
        <v>82</v>
      </c>
    </row>
    <row r="16" customFormat="false" ht="15" hidden="false" customHeight="false" outlineLevel="0" collapsed="false">
      <c r="A16" s="2" t="s">
        <v>10</v>
      </c>
      <c r="B16" s="2" t="s">
        <v>83</v>
      </c>
      <c r="C16" s="2" t="s">
        <v>84</v>
      </c>
      <c r="D16" s="2" t="s">
        <v>85</v>
      </c>
      <c r="E16" s="3" t="s">
        <v>14</v>
      </c>
      <c r="F16" s="3" t="s">
        <v>48</v>
      </c>
      <c r="G16" s="3" t="s">
        <v>16</v>
      </c>
      <c r="H16" s="2" t="s">
        <v>58</v>
      </c>
      <c r="I16" s="3" t="s">
        <v>18</v>
      </c>
      <c r="J16" s="2" t="s">
        <v>86</v>
      </c>
    </row>
    <row r="17" customFormat="false" ht="15" hidden="false" customHeight="false" outlineLevel="0" collapsed="false">
      <c r="A17" s="4" t="s">
        <v>87</v>
      </c>
      <c r="B17" s="4" t="s">
        <v>88</v>
      </c>
      <c r="C17" s="4" t="s">
        <v>89</v>
      </c>
      <c r="D17" s="4" t="s">
        <v>90</v>
      </c>
      <c r="E17" s="5" t="s">
        <v>14</v>
      </c>
      <c r="F17" s="5" t="s">
        <v>48</v>
      </c>
      <c r="G17" s="5" t="s">
        <v>16</v>
      </c>
      <c r="H17" s="4" t="s">
        <v>91</v>
      </c>
      <c r="I17" s="5" t="s">
        <v>18</v>
      </c>
      <c r="J17" s="4" t="s">
        <v>92</v>
      </c>
    </row>
    <row r="18" customFormat="false" ht="15" hidden="false" customHeight="false" outlineLevel="0" collapsed="false">
      <c r="A18" s="2" t="s">
        <v>87</v>
      </c>
      <c r="B18" s="2" t="s">
        <v>93</v>
      </c>
      <c r="C18" s="2" t="s">
        <v>94</v>
      </c>
      <c r="D18" s="2" t="s">
        <v>95</v>
      </c>
      <c r="E18" s="3" t="s">
        <v>14</v>
      </c>
      <c r="F18" s="3" t="s">
        <v>48</v>
      </c>
      <c r="G18" s="3" t="s">
        <v>16</v>
      </c>
      <c r="H18" s="2" t="s">
        <v>96</v>
      </c>
      <c r="I18" s="3" t="s">
        <v>18</v>
      </c>
      <c r="J18" s="2" t="s">
        <v>97</v>
      </c>
    </row>
    <row r="19" customFormat="false" ht="15" hidden="false" customHeight="false" outlineLevel="0" collapsed="false">
      <c r="A19" s="4" t="s">
        <v>87</v>
      </c>
      <c r="B19" s="4" t="s">
        <v>98</v>
      </c>
      <c r="C19" s="4" t="s">
        <v>99</v>
      </c>
      <c r="D19" s="4" t="s">
        <v>100</v>
      </c>
      <c r="E19" s="5" t="s">
        <v>14</v>
      </c>
      <c r="F19" s="5" t="s">
        <v>48</v>
      </c>
      <c r="G19" s="5" t="s">
        <v>16</v>
      </c>
      <c r="H19" s="4" t="s">
        <v>101</v>
      </c>
      <c r="I19" s="5" t="s">
        <v>18</v>
      </c>
      <c r="J19" s="4" t="s">
        <v>102</v>
      </c>
    </row>
    <row r="20" customFormat="false" ht="15" hidden="false" customHeight="false" outlineLevel="0" collapsed="false">
      <c r="A20" s="2" t="s">
        <v>87</v>
      </c>
      <c r="B20" s="2" t="s">
        <v>103</v>
      </c>
      <c r="C20" s="2" t="s">
        <v>104</v>
      </c>
      <c r="D20" s="2" t="s">
        <v>95</v>
      </c>
      <c r="E20" s="3" t="s">
        <v>14</v>
      </c>
      <c r="F20" s="3" t="s">
        <v>48</v>
      </c>
      <c r="G20" s="3" t="s">
        <v>16</v>
      </c>
      <c r="H20" s="2" t="s">
        <v>105</v>
      </c>
      <c r="I20" s="3" t="s">
        <v>18</v>
      </c>
      <c r="J20" s="2" t="s">
        <v>106</v>
      </c>
    </row>
    <row r="21" customFormat="false" ht="15" hidden="false" customHeight="false" outlineLevel="0" collapsed="false">
      <c r="A21" s="4" t="s">
        <v>87</v>
      </c>
      <c r="B21" s="4" t="s">
        <v>107</v>
      </c>
      <c r="C21" s="4" t="s">
        <v>108</v>
      </c>
      <c r="D21" s="4" t="s">
        <v>109</v>
      </c>
      <c r="E21" s="5" t="s">
        <v>110</v>
      </c>
      <c r="F21" s="5" t="s">
        <v>48</v>
      </c>
      <c r="G21" s="5" t="s">
        <v>16</v>
      </c>
      <c r="H21" s="4" t="s">
        <v>111</v>
      </c>
      <c r="I21" s="5" t="s">
        <v>18</v>
      </c>
      <c r="J21" s="4" t="s">
        <v>112</v>
      </c>
    </row>
    <row r="22" customFormat="false" ht="15" hidden="false" customHeight="false" outlineLevel="0" collapsed="false">
      <c r="A22" s="2" t="s">
        <v>87</v>
      </c>
      <c r="B22" s="2" t="s">
        <v>113</v>
      </c>
      <c r="C22" s="2" t="s">
        <v>114</v>
      </c>
      <c r="D22" s="2" t="s">
        <v>115</v>
      </c>
      <c r="E22" s="3" t="s">
        <v>116</v>
      </c>
      <c r="F22" s="3" t="s">
        <v>48</v>
      </c>
      <c r="G22" s="3" t="s">
        <v>16</v>
      </c>
      <c r="H22" s="2" t="s">
        <v>117</v>
      </c>
      <c r="I22" s="3" t="s">
        <v>18</v>
      </c>
      <c r="J22" s="2" t="s">
        <v>118</v>
      </c>
    </row>
    <row r="23" customFormat="false" ht="23.85" hidden="false" customHeight="false" outlineLevel="0" collapsed="false">
      <c r="A23" s="4" t="s">
        <v>119</v>
      </c>
      <c r="B23" s="4" t="s">
        <v>120</v>
      </c>
      <c r="C23" s="4" t="s">
        <v>121</v>
      </c>
      <c r="D23" s="4" t="s">
        <v>122</v>
      </c>
      <c r="E23" s="5" t="s">
        <v>23</v>
      </c>
      <c r="F23" s="5" t="s">
        <v>48</v>
      </c>
      <c r="G23" s="5" t="s">
        <v>16</v>
      </c>
      <c r="H23" s="4" t="s">
        <v>120</v>
      </c>
      <c r="I23" s="5" t="s">
        <v>18</v>
      </c>
      <c r="J23" s="4" t="s">
        <v>123</v>
      </c>
    </row>
    <row r="24" customFormat="false" ht="23.85" hidden="false" customHeight="false" outlineLevel="0" collapsed="false">
      <c r="A24" s="2" t="s">
        <v>119</v>
      </c>
      <c r="B24" s="2" t="s">
        <v>124</v>
      </c>
      <c r="C24" s="2" t="s">
        <v>125</v>
      </c>
      <c r="D24" s="2" t="s">
        <v>126</v>
      </c>
      <c r="E24" s="3" t="s">
        <v>47</v>
      </c>
      <c r="F24" s="3" t="s">
        <v>48</v>
      </c>
      <c r="G24" s="3" t="s">
        <v>16</v>
      </c>
      <c r="H24" s="2" t="s">
        <v>127</v>
      </c>
      <c r="I24" s="3" t="s">
        <v>18</v>
      </c>
      <c r="J24" s="2" t="s">
        <v>128</v>
      </c>
    </row>
    <row r="25" customFormat="false" ht="23.85" hidden="false" customHeight="false" outlineLevel="0" collapsed="false">
      <c r="A25" s="4" t="s">
        <v>119</v>
      </c>
      <c r="B25" s="4" t="s">
        <v>129</v>
      </c>
      <c r="C25" s="4" t="s">
        <v>130</v>
      </c>
      <c r="D25" s="4" t="s">
        <v>131</v>
      </c>
      <c r="E25" s="5" t="s">
        <v>14</v>
      </c>
      <c r="F25" s="5" t="s">
        <v>48</v>
      </c>
      <c r="G25" s="5" t="s">
        <v>16</v>
      </c>
      <c r="H25" s="4" t="s">
        <v>132</v>
      </c>
      <c r="I25" s="5" t="s">
        <v>18</v>
      </c>
      <c r="J25" s="4" t="s">
        <v>133</v>
      </c>
    </row>
    <row r="26" customFormat="false" ht="15" hidden="false" customHeight="false" outlineLevel="0" collapsed="false">
      <c r="A26" s="2" t="s">
        <v>119</v>
      </c>
      <c r="B26" s="2" t="s">
        <v>134</v>
      </c>
      <c r="C26" s="2" t="s">
        <v>135</v>
      </c>
      <c r="D26" s="2" t="s">
        <v>136</v>
      </c>
      <c r="E26" s="3" t="s">
        <v>14</v>
      </c>
      <c r="F26" s="3" t="s">
        <v>29</v>
      </c>
      <c r="G26" s="3" t="s">
        <v>16</v>
      </c>
      <c r="H26" s="2" t="s">
        <v>137</v>
      </c>
      <c r="I26" s="3" t="s">
        <v>18</v>
      </c>
      <c r="J26" s="2" t="s">
        <v>138</v>
      </c>
    </row>
    <row r="27" customFormat="false" ht="15" hidden="false" customHeight="false" outlineLevel="0" collapsed="false">
      <c r="A27" s="4" t="s">
        <v>119</v>
      </c>
      <c r="B27" s="4" t="s">
        <v>139</v>
      </c>
      <c r="C27" s="4" t="s">
        <v>140</v>
      </c>
      <c r="D27" s="4" t="s">
        <v>136</v>
      </c>
      <c r="E27" s="5" t="s">
        <v>47</v>
      </c>
      <c r="F27" s="5" t="s">
        <v>29</v>
      </c>
      <c r="G27" s="5" t="s">
        <v>16</v>
      </c>
      <c r="H27" s="4" t="s">
        <v>141</v>
      </c>
      <c r="I27" s="5" t="s">
        <v>18</v>
      </c>
      <c r="J27" s="4" t="s">
        <v>142</v>
      </c>
    </row>
    <row r="28" customFormat="false" ht="23.85" hidden="false" customHeight="false" outlineLevel="0" collapsed="false">
      <c r="A28" s="2" t="s">
        <v>119</v>
      </c>
      <c r="B28" s="2" t="s">
        <v>143</v>
      </c>
      <c r="C28" s="2" t="s">
        <v>144</v>
      </c>
      <c r="D28" s="2" t="s">
        <v>145</v>
      </c>
      <c r="E28" s="3" t="s">
        <v>47</v>
      </c>
      <c r="F28" s="3" t="s">
        <v>29</v>
      </c>
      <c r="G28" s="3" t="s">
        <v>16</v>
      </c>
      <c r="H28" s="2" t="s">
        <v>146</v>
      </c>
      <c r="I28" s="3" t="s">
        <v>18</v>
      </c>
      <c r="J28" s="2" t="s">
        <v>147</v>
      </c>
    </row>
    <row r="29" customFormat="false" ht="23.85" hidden="false" customHeight="false" outlineLevel="0" collapsed="false">
      <c r="A29" s="4" t="s">
        <v>148</v>
      </c>
      <c r="B29" s="4" t="s">
        <v>149</v>
      </c>
      <c r="C29" s="4" t="s">
        <v>150</v>
      </c>
      <c r="D29" s="4" t="s">
        <v>151</v>
      </c>
      <c r="E29" s="5" t="s">
        <v>14</v>
      </c>
      <c r="F29" s="5" t="s">
        <v>48</v>
      </c>
      <c r="G29" s="5" t="s">
        <v>16</v>
      </c>
      <c r="H29" s="4" t="s">
        <v>91</v>
      </c>
      <c r="I29" s="5" t="s">
        <v>18</v>
      </c>
      <c r="J29" s="4" t="s">
        <v>152</v>
      </c>
    </row>
    <row r="30" customFormat="false" ht="23.85" hidden="false" customHeight="false" outlineLevel="0" collapsed="false">
      <c r="A30" s="2" t="s">
        <v>148</v>
      </c>
      <c r="B30" s="2" t="s">
        <v>153</v>
      </c>
      <c r="C30" s="2" t="s">
        <v>154</v>
      </c>
      <c r="D30" s="2" t="s">
        <v>155</v>
      </c>
      <c r="E30" s="3" t="s">
        <v>14</v>
      </c>
      <c r="F30" s="3" t="s">
        <v>15</v>
      </c>
      <c r="G30" s="3" t="s">
        <v>16</v>
      </c>
      <c r="H30" s="2" t="s">
        <v>156</v>
      </c>
      <c r="I30" s="3" t="s">
        <v>18</v>
      </c>
      <c r="J30" s="2" t="s">
        <v>157</v>
      </c>
    </row>
    <row r="31" customFormat="false" ht="23.85" hidden="false" customHeight="false" outlineLevel="0" collapsed="false">
      <c r="A31" s="4" t="s">
        <v>148</v>
      </c>
      <c r="B31" s="4" t="s">
        <v>158</v>
      </c>
      <c r="C31" s="4" t="s">
        <v>159</v>
      </c>
      <c r="D31" s="4" t="s">
        <v>160</v>
      </c>
      <c r="E31" s="5" t="s">
        <v>14</v>
      </c>
      <c r="F31" s="5" t="s">
        <v>15</v>
      </c>
      <c r="G31" s="5" t="s">
        <v>161</v>
      </c>
      <c r="H31" s="4" t="s">
        <v>162</v>
      </c>
      <c r="I31" s="5" t="s">
        <v>18</v>
      </c>
      <c r="J31" s="4" t="s">
        <v>163</v>
      </c>
    </row>
    <row r="32" customFormat="false" ht="15" hidden="false" customHeight="false" outlineLevel="0" collapsed="false">
      <c r="A32" s="2" t="s">
        <v>148</v>
      </c>
      <c r="B32" s="2" t="s">
        <v>164</v>
      </c>
      <c r="C32" s="2" t="s">
        <v>165</v>
      </c>
      <c r="D32" s="2" t="s">
        <v>160</v>
      </c>
      <c r="E32" s="3" t="s">
        <v>14</v>
      </c>
      <c r="F32" s="3" t="s">
        <v>15</v>
      </c>
      <c r="G32" s="3" t="s">
        <v>16</v>
      </c>
      <c r="H32" s="2" t="s">
        <v>164</v>
      </c>
      <c r="I32" s="3" t="s">
        <v>18</v>
      </c>
      <c r="J32" s="2" t="s">
        <v>166</v>
      </c>
    </row>
    <row r="33" customFormat="false" ht="23.85" hidden="false" customHeight="false" outlineLevel="0" collapsed="false">
      <c r="A33" s="4" t="s">
        <v>148</v>
      </c>
      <c r="B33" s="4" t="s">
        <v>167</v>
      </c>
      <c r="C33" s="4" t="s">
        <v>168</v>
      </c>
      <c r="D33" s="4" t="s">
        <v>169</v>
      </c>
      <c r="E33" s="5" t="s">
        <v>14</v>
      </c>
      <c r="F33" s="5" t="s">
        <v>29</v>
      </c>
      <c r="G33" s="5" t="s">
        <v>16</v>
      </c>
      <c r="H33" s="4" t="s">
        <v>170</v>
      </c>
      <c r="I33" s="5" t="s">
        <v>18</v>
      </c>
      <c r="J33" s="4" t="s">
        <v>171</v>
      </c>
    </row>
    <row r="34" customFormat="false" ht="15" hidden="false" customHeight="false" outlineLevel="0" collapsed="false">
      <c r="A34" s="2" t="s">
        <v>148</v>
      </c>
      <c r="B34" s="2" t="s">
        <v>172</v>
      </c>
      <c r="C34" s="2" t="s">
        <v>173</v>
      </c>
      <c r="D34" s="2" t="s">
        <v>160</v>
      </c>
      <c r="E34" s="3" t="s">
        <v>14</v>
      </c>
      <c r="F34" s="3" t="s">
        <v>29</v>
      </c>
      <c r="G34" s="3" t="s">
        <v>16</v>
      </c>
      <c r="H34" s="2" t="s">
        <v>174</v>
      </c>
      <c r="I34" s="3" t="s">
        <v>18</v>
      </c>
      <c r="J34" s="2" t="s">
        <v>175</v>
      </c>
    </row>
    <row r="35" customFormat="false" ht="15" hidden="false" customHeight="false" outlineLevel="0" collapsed="false">
      <c r="A35" s="4" t="s">
        <v>148</v>
      </c>
      <c r="B35" s="4" t="s">
        <v>176</v>
      </c>
      <c r="C35" s="4" t="s">
        <v>177</v>
      </c>
      <c r="D35" s="4" t="s">
        <v>178</v>
      </c>
      <c r="E35" s="5" t="s">
        <v>14</v>
      </c>
      <c r="F35" s="5" t="s">
        <v>15</v>
      </c>
      <c r="G35" s="5" t="s">
        <v>16</v>
      </c>
      <c r="H35" s="4" t="s">
        <v>179</v>
      </c>
      <c r="I35" s="5" t="s">
        <v>18</v>
      </c>
      <c r="J35" s="4" t="s">
        <v>180</v>
      </c>
    </row>
    <row r="36" customFormat="false" ht="23.85" hidden="false" customHeight="false" outlineLevel="0" collapsed="false">
      <c r="A36" s="2" t="s">
        <v>148</v>
      </c>
      <c r="B36" s="2" t="s">
        <v>181</v>
      </c>
      <c r="C36" s="2" t="s">
        <v>182</v>
      </c>
      <c r="D36" s="2" t="s">
        <v>183</v>
      </c>
      <c r="E36" s="3" t="s">
        <v>14</v>
      </c>
      <c r="F36" s="3" t="s">
        <v>15</v>
      </c>
      <c r="G36" s="3" t="s">
        <v>161</v>
      </c>
      <c r="H36" s="2" t="s">
        <v>184</v>
      </c>
      <c r="I36" s="3" t="s">
        <v>18</v>
      </c>
      <c r="J36" s="2" t="s">
        <v>185</v>
      </c>
    </row>
    <row r="37" customFormat="false" ht="15" hidden="false" customHeight="false" outlineLevel="0" collapsed="false">
      <c r="A37" s="4" t="s">
        <v>148</v>
      </c>
      <c r="B37" s="4" t="s">
        <v>186</v>
      </c>
      <c r="C37" s="4" t="s">
        <v>187</v>
      </c>
      <c r="D37" s="4" t="s">
        <v>188</v>
      </c>
      <c r="E37" s="5" t="s">
        <v>14</v>
      </c>
      <c r="F37" s="5" t="s">
        <v>15</v>
      </c>
      <c r="G37" s="5" t="s">
        <v>16</v>
      </c>
      <c r="H37" s="4" t="s">
        <v>189</v>
      </c>
      <c r="I37" s="5" t="s">
        <v>18</v>
      </c>
      <c r="J37" s="4" t="s">
        <v>190</v>
      </c>
    </row>
    <row r="38" customFormat="false" ht="15" hidden="false" customHeight="false" outlineLevel="0" collapsed="false">
      <c r="A38" s="2" t="s">
        <v>191</v>
      </c>
      <c r="B38" s="2" t="s">
        <v>192</v>
      </c>
      <c r="C38" s="2" t="s">
        <v>193</v>
      </c>
      <c r="D38" s="2" t="s">
        <v>194</v>
      </c>
      <c r="E38" s="3" t="s">
        <v>14</v>
      </c>
      <c r="F38" s="3" t="s">
        <v>15</v>
      </c>
      <c r="G38" s="3" t="s">
        <v>16</v>
      </c>
      <c r="H38" s="2" t="s">
        <v>192</v>
      </c>
      <c r="I38" s="3" t="s">
        <v>18</v>
      </c>
      <c r="J38" s="2" t="s">
        <v>195</v>
      </c>
    </row>
    <row r="39" customFormat="false" ht="15" hidden="false" customHeight="false" outlineLevel="0" collapsed="false">
      <c r="A39" s="4" t="s">
        <v>191</v>
      </c>
      <c r="B39" s="4" t="s">
        <v>196</v>
      </c>
      <c r="C39" s="4" t="s">
        <v>197</v>
      </c>
      <c r="D39" s="4" t="s">
        <v>198</v>
      </c>
      <c r="E39" s="5" t="s">
        <v>14</v>
      </c>
      <c r="F39" s="5" t="s">
        <v>48</v>
      </c>
      <c r="G39" s="5" t="s">
        <v>16</v>
      </c>
      <c r="H39" s="4" t="s">
        <v>196</v>
      </c>
      <c r="I39" s="5" t="s">
        <v>18</v>
      </c>
      <c r="J39" s="4" t="s">
        <v>199</v>
      </c>
    </row>
    <row r="40" customFormat="false" ht="15" hidden="false" customHeight="false" outlineLevel="0" collapsed="false">
      <c r="A40" s="2" t="s">
        <v>191</v>
      </c>
      <c r="B40" s="2" t="s">
        <v>200</v>
      </c>
      <c r="C40" s="2" t="s">
        <v>201</v>
      </c>
      <c r="D40" s="2" t="s">
        <v>202</v>
      </c>
      <c r="E40" s="3" t="s">
        <v>14</v>
      </c>
      <c r="F40" s="3" t="s">
        <v>15</v>
      </c>
      <c r="G40" s="3" t="s">
        <v>16</v>
      </c>
      <c r="H40" s="2" t="s">
        <v>200</v>
      </c>
      <c r="I40" s="3" t="s">
        <v>18</v>
      </c>
      <c r="J40" s="2" t="s">
        <v>203</v>
      </c>
    </row>
    <row r="41" customFormat="false" ht="23.85" hidden="false" customHeight="false" outlineLevel="0" collapsed="false">
      <c r="A41" s="4" t="s">
        <v>191</v>
      </c>
      <c r="B41" s="4" t="s">
        <v>204</v>
      </c>
      <c r="C41" s="4" t="s">
        <v>205</v>
      </c>
      <c r="D41" s="4" t="s">
        <v>206</v>
      </c>
      <c r="E41" s="5" t="s">
        <v>14</v>
      </c>
      <c r="F41" s="5" t="s">
        <v>48</v>
      </c>
      <c r="G41" s="5" t="s">
        <v>16</v>
      </c>
      <c r="H41" s="4" t="s">
        <v>207</v>
      </c>
      <c r="I41" s="5" t="s">
        <v>18</v>
      </c>
      <c r="J41" s="4" t="s">
        <v>208</v>
      </c>
    </row>
    <row r="42" customFormat="false" ht="23.85" hidden="false" customHeight="false" outlineLevel="0" collapsed="false">
      <c r="A42" s="2" t="s">
        <v>191</v>
      </c>
      <c r="B42" s="2" t="s">
        <v>209</v>
      </c>
      <c r="C42" s="2" t="s">
        <v>210</v>
      </c>
      <c r="D42" s="2" t="s">
        <v>211</v>
      </c>
      <c r="E42" s="3" t="s">
        <v>47</v>
      </c>
      <c r="F42" s="3" t="s">
        <v>48</v>
      </c>
      <c r="G42" s="3" t="s">
        <v>16</v>
      </c>
      <c r="H42" s="2" t="s">
        <v>212</v>
      </c>
      <c r="I42" s="3" t="s">
        <v>18</v>
      </c>
      <c r="J42" s="2" t="s">
        <v>213</v>
      </c>
    </row>
    <row r="43" customFormat="false" ht="23.85" hidden="false" customHeight="false" outlineLevel="0" collapsed="false">
      <c r="A43" s="4" t="s">
        <v>191</v>
      </c>
      <c r="B43" s="4" t="s">
        <v>214</v>
      </c>
      <c r="C43" s="4" t="s">
        <v>215</v>
      </c>
      <c r="D43" s="4" t="s">
        <v>216</v>
      </c>
      <c r="E43" s="5" t="s">
        <v>47</v>
      </c>
      <c r="F43" s="5" t="s">
        <v>29</v>
      </c>
      <c r="G43" s="5" t="s">
        <v>16</v>
      </c>
      <c r="H43" s="4" t="s">
        <v>217</v>
      </c>
      <c r="I43" s="5" t="s">
        <v>18</v>
      </c>
      <c r="J43" s="4" t="s">
        <v>218</v>
      </c>
    </row>
    <row r="44" customFormat="false" ht="15" hidden="false" customHeight="false" outlineLevel="0" collapsed="false">
      <c r="A44" s="2" t="s">
        <v>191</v>
      </c>
      <c r="B44" s="2" t="s">
        <v>219</v>
      </c>
      <c r="C44" s="2" t="s">
        <v>220</v>
      </c>
      <c r="D44" s="2" t="s">
        <v>221</v>
      </c>
      <c r="E44" s="3" t="s">
        <v>14</v>
      </c>
      <c r="F44" s="3" t="s">
        <v>15</v>
      </c>
      <c r="G44" s="3" t="s">
        <v>16</v>
      </c>
      <c r="H44" s="2" t="s">
        <v>222</v>
      </c>
      <c r="I44" s="3" t="s">
        <v>18</v>
      </c>
      <c r="J44" s="2" t="s">
        <v>223</v>
      </c>
    </row>
    <row r="45" customFormat="false" ht="15" hidden="false" customHeight="false" outlineLevel="0" collapsed="false">
      <c r="A45" s="4" t="s">
        <v>191</v>
      </c>
      <c r="B45" s="4" t="s">
        <v>224</v>
      </c>
      <c r="C45" s="4" t="s">
        <v>225</v>
      </c>
      <c r="D45" s="4" t="s">
        <v>226</v>
      </c>
      <c r="E45" s="5" t="s">
        <v>116</v>
      </c>
      <c r="F45" s="5" t="s">
        <v>15</v>
      </c>
      <c r="G45" s="5" t="s">
        <v>16</v>
      </c>
      <c r="H45" s="4" t="s">
        <v>227</v>
      </c>
      <c r="I45" s="5" t="s">
        <v>18</v>
      </c>
      <c r="J45" s="4" t="s">
        <v>228</v>
      </c>
    </row>
    <row r="46" customFormat="false" ht="23.85" hidden="false" customHeight="false" outlineLevel="0" collapsed="false">
      <c r="A46" s="2" t="s">
        <v>191</v>
      </c>
      <c r="B46" s="2" t="s">
        <v>229</v>
      </c>
      <c r="C46" s="2" t="s">
        <v>230</v>
      </c>
      <c r="D46" s="2" t="s">
        <v>231</v>
      </c>
      <c r="E46" s="3" t="s">
        <v>14</v>
      </c>
      <c r="F46" s="3" t="s">
        <v>48</v>
      </c>
      <c r="G46" s="3" t="s">
        <v>16</v>
      </c>
      <c r="H46" s="2" t="s">
        <v>232</v>
      </c>
      <c r="I46" s="3" t="s">
        <v>18</v>
      </c>
      <c r="J46" s="2" t="s">
        <v>233</v>
      </c>
    </row>
    <row r="47" customFormat="false" ht="23.85" hidden="false" customHeight="false" outlineLevel="0" collapsed="false">
      <c r="A47" s="4" t="s">
        <v>234</v>
      </c>
      <c r="B47" s="4" t="s">
        <v>235</v>
      </c>
      <c r="C47" s="4" t="s">
        <v>236</v>
      </c>
      <c r="D47" s="4" t="s">
        <v>237</v>
      </c>
      <c r="E47" s="5" t="s">
        <v>14</v>
      </c>
      <c r="F47" s="5" t="s">
        <v>29</v>
      </c>
      <c r="G47" s="5" t="s">
        <v>16</v>
      </c>
      <c r="H47" s="4" t="s">
        <v>238</v>
      </c>
      <c r="I47" s="5" t="s">
        <v>18</v>
      </c>
      <c r="J47" s="4" t="s">
        <v>239</v>
      </c>
    </row>
    <row r="48" customFormat="false" ht="15" hidden="false" customHeight="false" outlineLevel="0" collapsed="false">
      <c r="A48" s="2" t="s">
        <v>234</v>
      </c>
      <c r="B48" s="2" t="s">
        <v>240</v>
      </c>
      <c r="C48" s="2" t="s">
        <v>241</v>
      </c>
      <c r="D48" s="2" t="s">
        <v>242</v>
      </c>
      <c r="E48" s="3" t="s">
        <v>14</v>
      </c>
      <c r="F48" s="3" t="s">
        <v>48</v>
      </c>
      <c r="G48" s="3" t="s">
        <v>16</v>
      </c>
      <c r="H48" s="2" t="s">
        <v>243</v>
      </c>
      <c r="I48" s="3" t="s">
        <v>18</v>
      </c>
      <c r="J48" s="2" t="s">
        <v>244</v>
      </c>
    </row>
    <row r="49" customFormat="false" ht="23.85" hidden="false" customHeight="false" outlineLevel="0" collapsed="false">
      <c r="A49" s="4" t="s">
        <v>234</v>
      </c>
      <c r="B49" s="4" t="s">
        <v>245</v>
      </c>
      <c r="C49" s="4" t="s">
        <v>246</v>
      </c>
      <c r="D49" s="4" t="s">
        <v>247</v>
      </c>
      <c r="E49" s="5" t="s">
        <v>14</v>
      </c>
      <c r="F49" s="5" t="s">
        <v>15</v>
      </c>
      <c r="G49" s="5" t="s">
        <v>16</v>
      </c>
      <c r="H49" s="4" t="s">
        <v>248</v>
      </c>
      <c r="I49" s="5" t="s">
        <v>18</v>
      </c>
      <c r="J49" s="4" t="s">
        <v>249</v>
      </c>
    </row>
    <row r="50" customFormat="false" ht="15" hidden="false" customHeight="false" outlineLevel="0" collapsed="false">
      <c r="A50" s="2" t="s">
        <v>234</v>
      </c>
      <c r="B50" s="2" t="s">
        <v>250</v>
      </c>
      <c r="C50" s="2" t="s">
        <v>251</v>
      </c>
      <c r="D50" s="2" t="s">
        <v>252</v>
      </c>
      <c r="E50" s="3" t="s">
        <v>14</v>
      </c>
      <c r="F50" s="3" t="s">
        <v>48</v>
      </c>
      <c r="G50" s="3" t="s">
        <v>16</v>
      </c>
      <c r="H50" s="2" t="s">
        <v>253</v>
      </c>
      <c r="I50" s="3" t="s">
        <v>18</v>
      </c>
      <c r="J50" s="2" t="s">
        <v>254</v>
      </c>
    </row>
    <row r="51" customFormat="false" ht="15" hidden="false" customHeight="false" outlineLevel="0" collapsed="false">
      <c r="A51" s="4" t="s">
        <v>234</v>
      </c>
      <c r="B51" s="4" t="s">
        <v>255</v>
      </c>
      <c r="C51" s="4" t="s">
        <v>256</v>
      </c>
      <c r="D51" s="4" t="s">
        <v>257</v>
      </c>
      <c r="E51" s="5" t="s">
        <v>47</v>
      </c>
      <c r="F51" s="5" t="s">
        <v>48</v>
      </c>
      <c r="G51" s="5" t="s">
        <v>16</v>
      </c>
      <c r="H51" s="4" t="s">
        <v>255</v>
      </c>
      <c r="I51" s="5" t="s">
        <v>18</v>
      </c>
      <c r="J51" s="4" t="s">
        <v>258</v>
      </c>
    </row>
    <row r="52" customFormat="false" ht="15" hidden="false" customHeight="false" outlineLevel="0" collapsed="false">
      <c r="A52" s="2" t="s">
        <v>234</v>
      </c>
      <c r="B52" s="2" t="s">
        <v>259</v>
      </c>
      <c r="C52" s="2" t="s">
        <v>260</v>
      </c>
      <c r="D52" s="2" t="s">
        <v>28</v>
      </c>
      <c r="E52" s="3" t="s">
        <v>14</v>
      </c>
      <c r="F52" s="3" t="s">
        <v>29</v>
      </c>
      <c r="G52" s="3" t="s">
        <v>16</v>
      </c>
      <c r="H52" s="2" t="s">
        <v>261</v>
      </c>
      <c r="I52" s="3" t="s">
        <v>18</v>
      </c>
      <c r="J52" s="2" t="s">
        <v>262</v>
      </c>
    </row>
    <row r="53" customFormat="false" ht="23.85" hidden="false" customHeight="false" outlineLevel="0" collapsed="false">
      <c r="A53" s="4" t="s">
        <v>234</v>
      </c>
      <c r="B53" s="4" t="s">
        <v>263</v>
      </c>
      <c r="C53" s="4" t="s">
        <v>264</v>
      </c>
      <c r="D53" s="4" t="s">
        <v>265</v>
      </c>
      <c r="E53" s="5" t="s">
        <v>14</v>
      </c>
      <c r="F53" s="5" t="s">
        <v>48</v>
      </c>
      <c r="G53" s="5" t="s">
        <v>16</v>
      </c>
      <c r="H53" s="4" t="s">
        <v>266</v>
      </c>
      <c r="I53" s="5" t="s">
        <v>18</v>
      </c>
      <c r="J53" s="4" t="s">
        <v>267</v>
      </c>
    </row>
    <row r="54" customFormat="false" ht="15" hidden="false" customHeight="false" outlineLevel="0" collapsed="false">
      <c r="A54" s="2" t="s">
        <v>234</v>
      </c>
      <c r="B54" s="2" t="s">
        <v>268</v>
      </c>
      <c r="C54" s="2" t="s">
        <v>269</v>
      </c>
      <c r="D54" s="2" t="s">
        <v>270</v>
      </c>
      <c r="E54" s="3" t="s">
        <v>14</v>
      </c>
      <c r="F54" s="3" t="s">
        <v>48</v>
      </c>
      <c r="G54" s="3" t="s">
        <v>16</v>
      </c>
      <c r="H54" s="2" t="s">
        <v>268</v>
      </c>
      <c r="I54" s="3" t="s">
        <v>18</v>
      </c>
      <c r="J54" s="2" t="s">
        <v>271</v>
      </c>
    </row>
    <row r="55" customFormat="false" ht="15" hidden="false" customHeight="false" outlineLevel="0" collapsed="false">
      <c r="A55" s="4" t="s">
        <v>234</v>
      </c>
      <c r="B55" s="4" t="s">
        <v>272</v>
      </c>
      <c r="C55" s="4" t="s">
        <v>273</v>
      </c>
      <c r="D55" s="4" t="s">
        <v>274</v>
      </c>
      <c r="E55" s="5" t="s">
        <v>14</v>
      </c>
      <c r="F55" s="5" t="s">
        <v>48</v>
      </c>
      <c r="G55" s="5" t="s">
        <v>16</v>
      </c>
      <c r="H55" s="4" t="s">
        <v>275</v>
      </c>
      <c r="I55" s="5" t="s">
        <v>18</v>
      </c>
      <c r="J55" s="4" t="s">
        <v>276</v>
      </c>
    </row>
    <row r="56" customFormat="false" ht="23.85" hidden="false" customHeight="false" outlineLevel="0" collapsed="false">
      <c r="A56" s="2" t="s">
        <v>277</v>
      </c>
      <c r="B56" s="2" t="s">
        <v>278</v>
      </c>
      <c r="C56" s="2" t="s">
        <v>279</v>
      </c>
      <c r="D56" s="2" t="s">
        <v>280</v>
      </c>
      <c r="E56" s="3" t="s">
        <v>47</v>
      </c>
      <c r="F56" s="3" t="s">
        <v>48</v>
      </c>
      <c r="G56" s="3" t="s">
        <v>281</v>
      </c>
      <c r="H56" s="2" t="s">
        <v>282</v>
      </c>
      <c r="I56" s="3" t="s">
        <v>18</v>
      </c>
      <c r="J56" s="2" t="s">
        <v>283</v>
      </c>
    </row>
    <row r="57" customFormat="false" ht="23.85" hidden="false" customHeight="false" outlineLevel="0" collapsed="false">
      <c r="A57" s="4" t="s">
        <v>277</v>
      </c>
      <c r="B57" s="4" t="s">
        <v>284</v>
      </c>
      <c r="C57" s="4" t="s">
        <v>285</v>
      </c>
      <c r="D57" s="4" t="s">
        <v>286</v>
      </c>
      <c r="E57" s="5" t="s">
        <v>116</v>
      </c>
      <c r="F57" s="5" t="s">
        <v>48</v>
      </c>
      <c r="G57" s="5" t="s">
        <v>16</v>
      </c>
      <c r="H57" s="4" t="s">
        <v>287</v>
      </c>
      <c r="I57" s="5" t="s">
        <v>18</v>
      </c>
      <c r="J57" s="4" t="s">
        <v>288</v>
      </c>
    </row>
    <row r="58" customFormat="false" ht="23.85" hidden="false" customHeight="false" outlineLevel="0" collapsed="false">
      <c r="A58" s="2" t="s">
        <v>277</v>
      </c>
      <c r="B58" s="2" t="s">
        <v>289</v>
      </c>
      <c r="C58" s="2" t="s">
        <v>290</v>
      </c>
      <c r="D58" s="2" t="s">
        <v>291</v>
      </c>
      <c r="E58" s="3" t="s">
        <v>38</v>
      </c>
      <c r="F58" s="3" t="s">
        <v>48</v>
      </c>
      <c r="G58" s="3" t="s">
        <v>16</v>
      </c>
      <c r="H58" s="2" t="s">
        <v>292</v>
      </c>
      <c r="I58" s="3" t="s">
        <v>18</v>
      </c>
      <c r="J58" s="2" t="s">
        <v>293</v>
      </c>
    </row>
    <row r="59" customFormat="false" ht="15" hidden="false" customHeight="false" outlineLevel="0" collapsed="false">
      <c r="A59" s="4" t="s">
        <v>277</v>
      </c>
      <c r="B59" s="4" t="s">
        <v>294</v>
      </c>
      <c r="C59" s="4" t="s">
        <v>295</v>
      </c>
      <c r="D59" s="4" t="s">
        <v>296</v>
      </c>
      <c r="E59" s="5" t="s">
        <v>23</v>
      </c>
      <c r="F59" s="5" t="s">
        <v>48</v>
      </c>
      <c r="G59" s="5" t="s">
        <v>16</v>
      </c>
      <c r="H59" s="4" t="s">
        <v>212</v>
      </c>
      <c r="I59" s="5" t="s">
        <v>18</v>
      </c>
      <c r="J59" s="4" t="s">
        <v>297</v>
      </c>
    </row>
    <row r="60" customFormat="false" ht="15" hidden="false" customHeight="false" outlineLevel="0" collapsed="false">
      <c r="A60" s="2" t="s">
        <v>277</v>
      </c>
      <c r="B60" s="2" t="s">
        <v>298</v>
      </c>
      <c r="C60" s="2" t="s">
        <v>299</v>
      </c>
      <c r="D60" s="2" t="s">
        <v>300</v>
      </c>
      <c r="E60" s="3" t="s">
        <v>14</v>
      </c>
      <c r="F60" s="3" t="s">
        <v>48</v>
      </c>
      <c r="G60" s="3" t="s">
        <v>16</v>
      </c>
      <c r="H60" s="2" t="s">
        <v>301</v>
      </c>
      <c r="I60" s="3" t="s">
        <v>18</v>
      </c>
      <c r="J60" s="2" t="s">
        <v>302</v>
      </c>
    </row>
    <row r="61" customFormat="false" ht="15" hidden="false" customHeight="false" outlineLevel="0" collapsed="false">
      <c r="A61" s="4" t="s">
        <v>277</v>
      </c>
      <c r="B61" s="4" t="s">
        <v>303</v>
      </c>
      <c r="C61" s="4" t="s">
        <v>304</v>
      </c>
      <c r="D61" s="4" t="s">
        <v>300</v>
      </c>
      <c r="E61" s="5" t="s">
        <v>14</v>
      </c>
      <c r="F61" s="5" t="s">
        <v>48</v>
      </c>
      <c r="G61" s="5" t="s">
        <v>16</v>
      </c>
      <c r="H61" s="4" t="s">
        <v>305</v>
      </c>
      <c r="I61" s="5" t="s">
        <v>18</v>
      </c>
      <c r="J61" s="4" t="s">
        <v>306</v>
      </c>
    </row>
    <row r="62" customFormat="false" ht="23.85" hidden="false" customHeight="false" outlineLevel="0" collapsed="false">
      <c r="A62" s="2" t="s">
        <v>307</v>
      </c>
      <c r="B62" s="2" t="s">
        <v>308</v>
      </c>
      <c r="C62" s="2" t="s">
        <v>309</v>
      </c>
      <c r="D62" s="2" t="s">
        <v>310</v>
      </c>
      <c r="E62" s="3" t="s">
        <v>47</v>
      </c>
      <c r="F62" s="3" t="s">
        <v>48</v>
      </c>
      <c r="G62" s="3" t="s">
        <v>281</v>
      </c>
      <c r="H62" s="2" t="s">
        <v>311</v>
      </c>
      <c r="I62" s="3" t="s">
        <v>18</v>
      </c>
      <c r="J62" s="2" t="s">
        <v>312</v>
      </c>
    </row>
    <row r="63" customFormat="false" ht="23.85" hidden="false" customHeight="false" outlineLevel="0" collapsed="false">
      <c r="A63" s="4" t="s">
        <v>307</v>
      </c>
      <c r="B63" s="4" t="s">
        <v>313</v>
      </c>
      <c r="C63" s="4" t="s">
        <v>314</v>
      </c>
      <c r="D63" s="4" t="s">
        <v>315</v>
      </c>
      <c r="E63" s="5" t="s">
        <v>116</v>
      </c>
      <c r="F63" s="5" t="s">
        <v>48</v>
      </c>
      <c r="G63" s="5" t="s">
        <v>16</v>
      </c>
      <c r="H63" s="4" t="s">
        <v>316</v>
      </c>
      <c r="I63" s="5" t="s">
        <v>18</v>
      </c>
      <c r="J63" s="4" t="s">
        <v>317</v>
      </c>
    </row>
    <row r="64" customFormat="false" ht="15" hidden="false" customHeight="false" outlineLevel="0" collapsed="false">
      <c r="A64" s="2" t="s">
        <v>307</v>
      </c>
      <c r="B64" s="2" t="s">
        <v>318</v>
      </c>
      <c r="C64" s="2" t="s">
        <v>319</v>
      </c>
      <c r="D64" s="2" t="s">
        <v>320</v>
      </c>
      <c r="E64" s="3" t="s">
        <v>38</v>
      </c>
      <c r="F64" s="3" t="s">
        <v>48</v>
      </c>
      <c r="G64" s="3" t="s">
        <v>16</v>
      </c>
      <c r="H64" s="2" t="s">
        <v>321</v>
      </c>
      <c r="I64" s="3" t="s">
        <v>18</v>
      </c>
      <c r="J64" s="2" t="s">
        <v>322</v>
      </c>
    </row>
    <row r="65" customFormat="false" ht="23.85" hidden="false" customHeight="false" outlineLevel="0" collapsed="false">
      <c r="A65" s="4" t="s">
        <v>307</v>
      </c>
      <c r="B65" s="4" t="s">
        <v>323</v>
      </c>
      <c r="C65" s="4" t="s">
        <v>324</v>
      </c>
      <c r="D65" s="4" t="s">
        <v>325</v>
      </c>
      <c r="E65" s="5" t="s">
        <v>326</v>
      </c>
      <c r="F65" s="5" t="s">
        <v>48</v>
      </c>
      <c r="G65" s="5" t="s">
        <v>16</v>
      </c>
      <c r="H65" s="4" t="s">
        <v>327</v>
      </c>
      <c r="I65" s="5" t="s">
        <v>18</v>
      </c>
      <c r="J65" s="4" t="s">
        <v>328</v>
      </c>
    </row>
    <row r="66" customFormat="false" ht="15" hidden="false" customHeight="false" outlineLevel="0" collapsed="false">
      <c r="A66" s="2" t="s">
        <v>307</v>
      </c>
      <c r="B66" s="2" t="s">
        <v>329</v>
      </c>
      <c r="C66" s="2" t="s">
        <v>330</v>
      </c>
      <c r="D66" s="2" t="s">
        <v>331</v>
      </c>
      <c r="E66" s="3" t="s">
        <v>332</v>
      </c>
      <c r="F66" s="3" t="s">
        <v>48</v>
      </c>
      <c r="G66" s="3" t="s">
        <v>16</v>
      </c>
      <c r="H66" s="2" t="s">
        <v>333</v>
      </c>
      <c r="I66" s="3" t="s">
        <v>18</v>
      </c>
      <c r="J66" s="2" t="s">
        <v>334</v>
      </c>
    </row>
    <row r="67" customFormat="false" ht="23.85" hidden="false" customHeight="false" outlineLevel="0" collapsed="false">
      <c r="A67" s="4" t="s">
        <v>307</v>
      </c>
      <c r="B67" s="4" t="s">
        <v>335</v>
      </c>
      <c r="C67" s="4" t="s">
        <v>336</v>
      </c>
      <c r="D67" s="4" t="s">
        <v>337</v>
      </c>
      <c r="E67" s="5" t="s">
        <v>338</v>
      </c>
      <c r="F67" s="5" t="s">
        <v>48</v>
      </c>
      <c r="G67" s="5" t="s">
        <v>16</v>
      </c>
      <c r="H67" s="4" t="s">
        <v>339</v>
      </c>
      <c r="I67" s="5" t="s">
        <v>18</v>
      </c>
      <c r="J67" s="4" t="s">
        <v>340</v>
      </c>
    </row>
    <row r="68" customFormat="false" ht="23.85" hidden="false" customHeight="false" outlineLevel="0" collapsed="false">
      <c r="A68" s="2" t="s">
        <v>341</v>
      </c>
      <c r="B68" s="2" t="s">
        <v>342</v>
      </c>
      <c r="C68" s="2" t="s">
        <v>343</v>
      </c>
      <c r="D68" s="2" t="s">
        <v>344</v>
      </c>
      <c r="E68" s="3" t="s">
        <v>14</v>
      </c>
      <c r="F68" s="3" t="s">
        <v>48</v>
      </c>
      <c r="G68" s="3" t="s">
        <v>16</v>
      </c>
      <c r="H68" s="2" t="s">
        <v>316</v>
      </c>
      <c r="I68" s="3" t="s">
        <v>18</v>
      </c>
      <c r="J68" s="2" t="s">
        <v>345</v>
      </c>
    </row>
    <row r="69" customFormat="false" ht="23.85" hidden="false" customHeight="false" outlineLevel="0" collapsed="false">
      <c r="A69" s="4" t="s">
        <v>341</v>
      </c>
      <c r="B69" s="4" t="s">
        <v>346</v>
      </c>
      <c r="C69" s="4" t="s">
        <v>347</v>
      </c>
      <c r="D69" s="4" t="s">
        <v>348</v>
      </c>
      <c r="E69" s="5" t="s">
        <v>14</v>
      </c>
      <c r="F69" s="5" t="s">
        <v>48</v>
      </c>
      <c r="G69" s="5" t="s">
        <v>16</v>
      </c>
      <c r="H69" s="4" t="s">
        <v>349</v>
      </c>
      <c r="I69" s="5" t="s">
        <v>18</v>
      </c>
      <c r="J69" s="4" t="s">
        <v>350</v>
      </c>
    </row>
    <row r="70" customFormat="false" ht="23.85" hidden="false" customHeight="false" outlineLevel="0" collapsed="false">
      <c r="A70" s="2" t="s">
        <v>341</v>
      </c>
      <c r="B70" s="2" t="s">
        <v>351</v>
      </c>
      <c r="C70" s="2" t="s">
        <v>352</v>
      </c>
      <c r="D70" s="2" t="s">
        <v>353</v>
      </c>
      <c r="E70" s="3" t="s">
        <v>14</v>
      </c>
      <c r="F70" s="3" t="s">
        <v>29</v>
      </c>
      <c r="G70" s="3" t="s">
        <v>16</v>
      </c>
      <c r="H70" s="2" t="s">
        <v>174</v>
      </c>
      <c r="I70" s="3" t="s">
        <v>18</v>
      </c>
      <c r="J70" s="2" t="s">
        <v>354</v>
      </c>
    </row>
    <row r="71" customFormat="false" ht="23.85" hidden="false" customHeight="false" outlineLevel="0" collapsed="false">
      <c r="A71" s="4" t="s">
        <v>341</v>
      </c>
      <c r="B71" s="4" t="s">
        <v>355</v>
      </c>
      <c r="C71" s="4" t="s">
        <v>356</v>
      </c>
      <c r="D71" s="4" t="s">
        <v>357</v>
      </c>
      <c r="E71" s="5" t="s">
        <v>116</v>
      </c>
      <c r="F71" s="5" t="s">
        <v>48</v>
      </c>
      <c r="G71" s="5" t="s">
        <v>16</v>
      </c>
      <c r="H71" s="4" t="s">
        <v>316</v>
      </c>
      <c r="I71" s="5" t="s">
        <v>18</v>
      </c>
      <c r="J71" s="4" t="s">
        <v>358</v>
      </c>
    </row>
    <row r="72" customFormat="false" ht="15" hidden="false" customHeight="false" outlineLevel="0" collapsed="false">
      <c r="A72" s="2" t="s">
        <v>341</v>
      </c>
      <c r="B72" s="2" t="s">
        <v>359</v>
      </c>
      <c r="C72" s="2" t="s">
        <v>360</v>
      </c>
      <c r="D72" s="2" t="s">
        <v>361</v>
      </c>
      <c r="E72" s="3" t="s">
        <v>14</v>
      </c>
      <c r="F72" s="3" t="s">
        <v>48</v>
      </c>
      <c r="G72" s="3" t="s">
        <v>16</v>
      </c>
      <c r="H72" s="2" t="s">
        <v>359</v>
      </c>
      <c r="I72" s="3" t="s">
        <v>18</v>
      </c>
      <c r="J72" s="2" t="s">
        <v>362</v>
      </c>
    </row>
    <row r="73" customFormat="false" ht="15" hidden="false" customHeight="false" outlineLevel="0" collapsed="false">
      <c r="A73" s="4" t="s">
        <v>341</v>
      </c>
      <c r="B73" s="4" t="s">
        <v>363</v>
      </c>
      <c r="C73" s="4" t="s">
        <v>364</v>
      </c>
      <c r="D73" s="4" t="s">
        <v>365</v>
      </c>
      <c r="E73" s="5" t="s">
        <v>14</v>
      </c>
      <c r="F73" s="5" t="s">
        <v>29</v>
      </c>
      <c r="G73" s="5" t="s">
        <v>16</v>
      </c>
      <c r="H73" s="4" t="s">
        <v>268</v>
      </c>
      <c r="I73" s="5" t="s">
        <v>18</v>
      </c>
      <c r="J73" s="4" t="s">
        <v>366</v>
      </c>
    </row>
    <row r="74" customFormat="false" ht="23.85" hidden="false" customHeight="false" outlineLevel="0" collapsed="false">
      <c r="A74" s="2" t="s">
        <v>341</v>
      </c>
      <c r="B74" s="2" t="s">
        <v>367</v>
      </c>
      <c r="C74" s="2" t="s">
        <v>368</v>
      </c>
      <c r="D74" s="2" t="s">
        <v>369</v>
      </c>
      <c r="E74" s="3" t="s">
        <v>14</v>
      </c>
      <c r="F74" s="3" t="s">
        <v>15</v>
      </c>
      <c r="G74" s="3" t="s">
        <v>16</v>
      </c>
      <c r="H74" s="2" t="s">
        <v>370</v>
      </c>
      <c r="I74" s="3" t="s">
        <v>18</v>
      </c>
      <c r="J74" s="2" t="s">
        <v>371</v>
      </c>
    </row>
    <row r="75" customFormat="false" ht="23.85" hidden="false" customHeight="false" outlineLevel="0" collapsed="false">
      <c r="A75" s="4" t="s">
        <v>372</v>
      </c>
      <c r="B75" s="4" t="s">
        <v>373</v>
      </c>
      <c r="C75" s="4" t="s">
        <v>374</v>
      </c>
      <c r="D75" s="4" t="s">
        <v>375</v>
      </c>
      <c r="E75" s="5" t="s">
        <v>23</v>
      </c>
      <c r="F75" s="5" t="s">
        <v>48</v>
      </c>
      <c r="G75" s="5" t="s">
        <v>16</v>
      </c>
      <c r="H75" s="4" t="s">
        <v>376</v>
      </c>
      <c r="I75" s="5" t="s">
        <v>18</v>
      </c>
      <c r="J75" s="4" t="s">
        <v>377</v>
      </c>
    </row>
    <row r="76" customFormat="false" ht="23.85" hidden="false" customHeight="false" outlineLevel="0" collapsed="false">
      <c r="A76" s="2" t="s">
        <v>372</v>
      </c>
      <c r="B76" s="2" t="s">
        <v>378</v>
      </c>
      <c r="C76" s="2" t="s">
        <v>379</v>
      </c>
      <c r="D76" s="2" t="s">
        <v>380</v>
      </c>
      <c r="E76" s="3" t="s">
        <v>47</v>
      </c>
      <c r="F76" s="3" t="s">
        <v>48</v>
      </c>
      <c r="G76" s="3" t="s">
        <v>281</v>
      </c>
      <c r="H76" s="2" t="s">
        <v>381</v>
      </c>
      <c r="I76" s="3" t="s">
        <v>18</v>
      </c>
      <c r="J76" s="2" t="s">
        <v>382</v>
      </c>
    </row>
    <row r="77" customFormat="false" ht="23.85" hidden="false" customHeight="false" outlineLevel="0" collapsed="false">
      <c r="A77" s="4" t="s">
        <v>372</v>
      </c>
      <c r="B77" s="4" t="s">
        <v>383</v>
      </c>
      <c r="C77" s="4" t="s">
        <v>384</v>
      </c>
      <c r="D77" s="4" t="s">
        <v>385</v>
      </c>
      <c r="E77" s="5" t="s">
        <v>47</v>
      </c>
      <c r="F77" s="5" t="s">
        <v>386</v>
      </c>
      <c r="G77" s="5" t="s">
        <v>16</v>
      </c>
      <c r="H77" s="4" t="s">
        <v>387</v>
      </c>
      <c r="I77" s="5" t="s">
        <v>18</v>
      </c>
      <c r="J77" s="4" t="s">
        <v>388</v>
      </c>
    </row>
    <row r="78" customFormat="false" ht="15" hidden="false" customHeight="false" outlineLevel="0" collapsed="false">
      <c r="A78" s="2" t="s">
        <v>372</v>
      </c>
      <c r="B78" s="2" t="s">
        <v>389</v>
      </c>
      <c r="C78" s="2" t="s">
        <v>390</v>
      </c>
      <c r="D78" s="2" t="s">
        <v>391</v>
      </c>
      <c r="E78" s="3" t="s">
        <v>116</v>
      </c>
      <c r="F78" s="3" t="s">
        <v>48</v>
      </c>
      <c r="G78" s="3" t="s">
        <v>16</v>
      </c>
      <c r="H78" s="2" t="s">
        <v>392</v>
      </c>
      <c r="I78" s="3" t="s">
        <v>18</v>
      </c>
      <c r="J78" s="2" t="s">
        <v>393</v>
      </c>
    </row>
    <row r="79" customFormat="false" ht="23.85" hidden="false" customHeight="false" outlineLevel="0" collapsed="false">
      <c r="A79" s="4" t="s">
        <v>372</v>
      </c>
      <c r="B79" s="4" t="s">
        <v>394</v>
      </c>
      <c r="C79" s="4" t="s">
        <v>395</v>
      </c>
      <c r="D79" s="4" t="s">
        <v>396</v>
      </c>
      <c r="E79" s="5" t="s">
        <v>14</v>
      </c>
      <c r="F79" s="5" t="s">
        <v>48</v>
      </c>
      <c r="G79" s="5" t="s">
        <v>16</v>
      </c>
      <c r="H79" s="4" t="s">
        <v>397</v>
      </c>
      <c r="I79" s="5" t="s">
        <v>18</v>
      </c>
      <c r="J79" s="4" t="s">
        <v>398</v>
      </c>
    </row>
    <row r="80" customFormat="false" ht="23.85" hidden="false" customHeight="false" outlineLevel="0" collapsed="false">
      <c r="A80" s="2" t="s">
        <v>372</v>
      </c>
      <c r="B80" s="2" t="s">
        <v>96</v>
      </c>
      <c r="C80" s="2" t="s">
        <v>94</v>
      </c>
      <c r="D80" s="2" t="s">
        <v>399</v>
      </c>
      <c r="E80" s="3" t="s">
        <v>14</v>
      </c>
      <c r="F80" s="3" t="s">
        <v>48</v>
      </c>
      <c r="G80" s="3" t="s">
        <v>16</v>
      </c>
      <c r="H80" s="2" t="s">
        <v>96</v>
      </c>
      <c r="I80" s="3" t="s">
        <v>18</v>
      </c>
      <c r="J80" s="2" t="s">
        <v>400</v>
      </c>
    </row>
    <row r="81" customFormat="false" ht="15" hidden="false" customHeight="false" outlineLevel="0" collapsed="false">
      <c r="A81" s="4" t="s">
        <v>372</v>
      </c>
      <c r="B81" s="4" t="s">
        <v>401</v>
      </c>
      <c r="C81" s="4" t="s">
        <v>402</v>
      </c>
      <c r="D81" s="4" t="s">
        <v>403</v>
      </c>
      <c r="E81" s="5" t="s">
        <v>14</v>
      </c>
      <c r="F81" s="5" t="s">
        <v>48</v>
      </c>
      <c r="G81" s="5" t="s">
        <v>16</v>
      </c>
      <c r="H81" s="4" t="s">
        <v>401</v>
      </c>
      <c r="I81" s="5" t="s">
        <v>18</v>
      </c>
      <c r="J81" s="4" t="s">
        <v>404</v>
      </c>
    </row>
    <row r="82" customFormat="false" ht="23.85" hidden="false" customHeight="false" outlineLevel="0" collapsed="false">
      <c r="A82" s="2" t="s">
        <v>372</v>
      </c>
      <c r="B82" s="2" t="s">
        <v>405</v>
      </c>
      <c r="C82" s="2" t="s">
        <v>406</v>
      </c>
      <c r="D82" s="2" t="s">
        <v>62</v>
      </c>
      <c r="E82" s="3" t="s">
        <v>407</v>
      </c>
      <c r="F82" s="3" t="s">
        <v>386</v>
      </c>
      <c r="G82" s="3" t="s">
        <v>16</v>
      </c>
      <c r="H82" s="2" t="s">
        <v>408</v>
      </c>
      <c r="I82" s="3" t="s">
        <v>18</v>
      </c>
      <c r="J82" s="2" t="s">
        <v>409</v>
      </c>
    </row>
    <row r="83" customFormat="false" ht="23.85" hidden="false" customHeight="false" outlineLevel="0" collapsed="false">
      <c r="A83" s="4" t="s">
        <v>372</v>
      </c>
      <c r="B83" s="4" t="s">
        <v>410</v>
      </c>
      <c r="C83" s="4" t="s">
        <v>411</v>
      </c>
      <c r="D83" s="4" t="s">
        <v>385</v>
      </c>
      <c r="E83" s="5" t="s">
        <v>412</v>
      </c>
      <c r="F83" s="5" t="s">
        <v>386</v>
      </c>
      <c r="G83" s="5" t="s">
        <v>16</v>
      </c>
      <c r="H83" s="4" t="s">
        <v>413</v>
      </c>
      <c r="I83" s="5" t="s">
        <v>18</v>
      </c>
      <c r="J83" s="4" t="s">
        <v>414</v>
      </c>
    </row>
    <row r="84" customFormat="false" ht="23.85" hidden="false" customHeight="false" outlineLevel="0" collapsed="false">
      <c r="A84" s="2" t="s">
        <v>372</v>
      </c>
      <c r="B84" s="2" t="s">
        <v>415</v>
      </c>
      <c r="C84" s="2" t="s">
        <v>416</v>
      </c>
      <c r="D84" s="2" t="s">
        <v>417</v>
      </c>
      <c r="E84" s="3" t="s">
        <v>338</v>
      </c>
      <c r="F84" s="3" t="s">
        <v>386</v>
      </c>
      <c r="G84" s="3" t="s">
        <v>16</v>
      </c>
      <c r="H84" s="2" t="s">
        <v>418</v>
      </c>
      <c r="I84" s="3" t="s">
        <v>18</v>
      </c>
      <c r="J84" s="2" t="s">
        <v>419</v>
      </c>
    </row>
    <row r="85" customFormat="false" ht="23.85" hidden="false" customHeight="false" outlineLevel="0" collapsed="false">
      <c r="A85" s="4" t="s">
        <v>372</v>
      </c>
      <c r="B85" s="4" t="s">
        <v>420</v>
      </c>
      <c r="C85" s="4" t="s">
        <v>421</v>
      </c>
      <c r="D85" s="4" t="s">
        <v>422</v>
      </c>
      <c r="E85" s="5" t="s">
        <v>14</v>
      </c>
      <c r="F85" s="5" t="s">
        <v>48</v>
      </c>
      <c r="G85" s="5" t="s">
        <v>16</v>
      </c>
      <c r="H85" s="4" t="s">
        <v>420</v>
      </c>
      <c r="I85" s="5" t="s">
        <v>18</v>
      </c>
      <c r="J85" s="4" t="s">
        <v>423</v>
      </c>
    </row>
    <row r="86" customFormat="false" ht="15" hidden="false" customHeight="false" outlineLevel="0" collapsed="false">
      <c r="A86" s="2" t="s">
        <v>372</v>
      </c>
      <c r="B86" s="2" t="s">
        <v>424</v>
      </c>
      <c r="C86" s="2" t="s">
        <v>425</v>
      </c>
      <c r="D86" s="2" t="s">
        <v>426</v>
      </c>
      <c r="E86" s="3" t="s">
        <v>14</v>
      </c>
      <c r="F86" s="3" t="s">
        <v>48</v>
      </c>
      <c r="G86" s="3" t="s">
        <v>16</v>
      </c>
      <c r="H86" s="2" t="s">
        <v>424</v>
      </c>
      <c r="I86" s="3" t="s">
        <v>18</v>
      </c>
      <c r="J86" s="2" t="s">
        <v>427</v>
      </c>
    </row>
    <row r="87" customFormat="false" ht="23.85" hidden="false" customHeight="false" outlineLevel="0" collapsed="false">
      <c r="A87" s="4" t="s">
        <v>372</v>
      </c>
      <c r="B87" s="4" t="s">
        <v>428</v>
      </c>
      <c r="C87" s="4" t="s">
        <v>429</v>
      </c>
      <c r="D87" s="4" t="s">
        <v>430</v>
      </c>
      <c r="E87" s="5" t="s">
        <v>14</v>
      </c>
      <c r="F87" s="5" t="s">
        <v>48</v>
      </c>
      <c r="G87" s="5" t="s">
        <v>16</v>
      </c>
      <c r="H87" s="4" t="s">
        <v>428</v>
      </c>
      <c r="I87" s="5" t="s">
        <v>18</v>
      </c>
      <c r="J87" s="4" t="s">
        <v>431</v>
      </c>
    </row>
    <row r="88" customFormat="false" ht="15" hidden="false" customHeight="false" outlineLevel="0" collapsed="false">
      <c r="A88" s="2" t="s">
        <v>372</v>
      </c>
      <c r="B88" s="2" t="s">
        <v>432</v>
      </c>
      <c r="C88" s="2" t="s">
        <v>433</v>
      </c>
      <c r="D88" s="2" t="s">
        <v>434</v>
      </c>
      <c r="E88" s="3" t="s">
        <v>14</v>
      </c>
      <c r="F88" s="3" t="s">
        <v>48</v>
      </c>
      <c r="G88" s="3" t="s">
        <v>16</v>
      </c>
      <c r="H88" s="2" t="s">
        <v>435</v>
      </c>
      <c r="I88" s="3" t="s">
        <v>18</v>
      </c>
      <c r="J88" s="2" t="s">
        <v>436</v>
      </c>
    </row>
    <row r="89" customFormat="false" ht="23.85" hidden="false" customHeight="false" outlineLevel="0" collapsed="false">
      <c r="A89" s="4" t="s">
        <v>437</v>
      </c>
      <c r="B89" s="4" t="s">
        <v>438</v>
      </c>
      <c r="C89" s="4" t="s">
        <v>439</v>
      </c>
      <c r="D89" s="4" t="s">
        <v>440</v>
      </c>
      <c r="E89" s="5" t="s">
        <v>23</v>
      </c>
      <c r="F89" s="5" t="s">
        <v>441</v>
      </c>
      <c r="G89" s="5" t="s">
        <v>16</v>
      </c>
      <c r="H89" s="4" t="s">
        <v>373</v>
      </c>
      <c r="I89" s="5" t="s">
        <v>18</v>
      </c>
      <c r="J89" s="4" t="s">
        <v>442</v>
      </c>
    </row>
    <row r="90" customFormat="false" ht="23.85" hidden="false" customHeight="false" outlineLevel="0" collapsed="false">
      <c r="A90" s="2" t="s">
        <v>437</v>
      </c>
      <c r="B90" s="2" t="s">
        <v>443</v>
      </c>
      <c r="C90" s="2" t="s">
        <v>444</v>
      </c>
      <c r="D90" s="2" t="s">
        <v>445</v>
      </c>
      <c r="E90" s="3" t="s">
        <v>446</v>
      </c>
      <c r="F90" s="3" t="s">
        <v>441</v>
      </c>
      <c r="G90" s="3" t="s">
        <v>16</v>
      </c>
      <c r="H90" s="2" t="s">
        <v>447</v>
      </c>
      <c r="I90" s="3" t="s">
        <v>18</v>
      </c>
      <c r="J90" s="2" t="s">
        <v>448</v>
      </c>
    </row>
    <row r="91" customFormat="false" ht="23.85" hidden="false" customHeight="false" outlineLevel="0" collapsed="false">
      <c r="A91" s="4" t="s">
        <v>437</v>
      </c>
      <c r="B91" s="4" t="s">
        <v>449</v>
      </c>
      <c r="C91" s="4" t="s">
        <v>450</v>
      </c>
      <c r="D91" s="4" t="s">
        <v>451</v>
      </c>
      <c r="E91" s="5" t="s">
        <v>412</v>
      </c>
      <c r="F91" s="5" t="s">
        <v>441</v>
      </c>
      <c r="G91" s="5" t="s">
        <v>16</v>
      </c>
      <c r="H91" s="4" t="s">
        <v>452</v>
      </c>
      <c r="I91" s="5" t="s">
        <v>18</v>
      </c>
      <c r="J91" s="4" t="s">
        <v>453</v>
      </c>
    </row>
    <row r="92" customFormat="false" ht="15" hidden="false" customHeight="false" outlineLevel="0" collapsed="false">
      <c r="A92" s="2" t="s">
        <v>437</v>
      </c>
      <c r="B92" s="2" t="s">
        <v>454</v>
      </c>
      <c r="C92" s="2" t="s">
        <v>455</v>
      </c>
      <c r="D92" s="2" t="s">
        <v>375</v>
      </c>
      <c r="E92" s="3" t="s">
        <v>338</v>
      </c>
      <c r="F92" s="3" t="s">
        <v>441</v>
      </c>
      <c r="G92" s="3" t="s">
        <v>16</v>
      </c>
      <c r="H92" s="2" t="s">
        <v>415</v>
      </c>
      <c r="I92" s="3" t="s">
        <v>18</v>
      </c>
      <c r="J92" s="2" t="s">
        <v>456</v>
      </c>
    </row>
    <row r="93" customFormat="false" ht="23.85" hidden="false" customHeight="false" outlineLevel="0" collapsed="false">
      <c r="A93" s="4" t="s">
        <v>437</v>
      </c>
      <c r="B93" s="4" t="s">
        <v>457</v>
      </c>
      <c r="C93" s="4" t="s">
        <v>458</v>
      </c>
      <c r="D93" s="4" t="s">
        <v>459</v>
      </c>
      <c r="E93" s="5" t="s">
        <v>14</v>
      </c>
      <c r="F93" s="5" t="s">
        <v>460</v>
      </c>
      <c r="G93" s="5" t="s">
        <v>16</v>
      </c>
      <c r="H93" s="4" t="s">
        <v>461</v>
      </c>
      <c r="I93" s="5" t="s">
        <v>18</v>
      </c>
      <c r="J93" s="4" t="s">
        <v>462</v>
      </c>
    </row>
    <row r="94" customFormat="false" ht="23.85" hidden="false" customHeight="false" outlineLevel="0" collapsed="false">
      <c r="A94" s="2" t="s">
        <v>437</v>
      </c>
      <c r="B94" s="2" t="s">
        <v>463</v>
      </c>
      <c r="C94" s="2" t="s">
        <v>464</v>
      </c>
      <c r="D94" s="2" t="s">
        <v>465</v>
      </c>
      <c r="E94" s="3" t="s">
        <v>14</v>
      </c>
      <c r="F94" s="3" t="s">
        <v>460</v>
      </c>
      <c r="G94" s="3" t="s">
        <v>16</v>
      </c>
      <c r="H94" s="2" t="s">
        <v>466</v>
      </c>
      <c r="I94" s="3" t="s">
        <v>18</v>
      </c>
      <c r="J94" s="2" t="s">
        <v>467</v>
      </c>
    </row>
    <row r="95" customFormat="false" ht="23.85" hidden="false" customHeight="false" outlineLevel="0" collapsed="false">
      <c r="A95" s="4" t="s">
        <v>437</v>
      </c>
      <c r="B95" s="4" t="s">
        <v>468</v>
      </c>
      <c r="C95" s="4" t="s">
        <v>469</v>
      </c>
      <c r="D95" s="4" t="s">
        <v>28</v>
      </c>
      <c r="E95" s="5" t="s">
        <v>14</v>
      </c>
      <c r="F95" s="5" t="s">
        <v>460</v>
      </c>
      <c r="G95" s="5" t="s">
        <v>16</v>
      </c>
      <c r="H95" s="4" t="s">
        <v>132</v>
      </c>
      <c r="I95" s="5" t="s">
        <v>18</v>
      </c>
      <c r="J95" s="4" t="s">
        <v>470</v>
      </c>
    </row>
    <row r="96" customFormat="false" ht="23.85" hidden="false" customHeight="false" outlineLevel="0" collapsed="false">
      <c r="A96" s="2" t="s">
        <v>437</v>
      </c>
      <c r="B96" s="2" t="s">
        <v>471</v>
      </c>
      <c r="C96" s="2" t="s">
        <v>472</v>
      </c>
      <c r="D96" s="2" t="s">
        <v>28</v>
      </c>
      <c r="E96" s="3" t="s">
        <v>14</v>
      </c>
      <c r="F96" s="3" t="s">
        <v>441</v>
      </c>
      <c r="G96" s="3" t="s">
        <v>16</v>
      </c>
      <c r="H96" s="2" t="s">
        <v>452</v>
      </c>
      <c r="I96" s="3" t="s">
        <v>18</v>
      </c>
      <c r="J96" s="2" t="s">
        <v>473</v>
      </c>
    </row>
    <row r="97" customFormat="false" ht="23.85" hidden="false" customHeight="false" outlineLevel="0" collapsed="false">
      <c r="A97" s="4" t="s">
        <v>437</v>
      </c>
      <c r="B97" s="4" t="s">
        <v>474</v>
      </c>
      <c r="C97" s="4" t="s">
        <v>475</v>
      </c>
      <c r="D97" s="4" t="s">
        <v>476</v>
      </c>
      <c r="E97" s="5" t="s">
        <v>116</v>
      </c>
      <c r="F97" s="5" t="s">
        <v>441</v>
      </c>
      <c r="G97" s="5" t="s">
        <v>16</v>
      </c>
      <c r="H97" s="4" t="s">
        <v>392</v>
      </c>
      <c r="I97" s="5" t="s">
        <v>18</v>
      </c>
      <c r="J97" s="4" t="s">
        <v>477</v>
      </c>
    </row>
    <row r="98" customFormat="false" ht="15" hidden="false" customHeight="false" outlineLevel="0" collapsed="false">
      <c r="A98" s="2" t="s">
        <v>437</v>
      </c>
      <c r="B98" s="2" t="s">
        <v>478</v>
      </c>
      <c r="C98" s="2" t="s">
        <v>479</v>
      </c>
      <c r="D98" s="2" t="s">
        <v>28</v>
      </c>
      <c r="E98" s="3" t="s">
        <v>14</v>
      </c>
      <c r="F98" s="3" t="s">
        <v>460</v>
      </c>
      <c r="G98" s="3" t="s">
        <v>16</v>
      </c>
      <c r="H98" s="2" t="s">
        <v>480</v>
      </c>
      <c r="I98" s="3" t="s">
        <v>18</v>
      </c>
      <c r="J98" s="2" t="s">
        <v>481</v>
      </c>
    </row>
    <row r="99" customFormat="false" ht="15" hidden="false" customHeight="false" outlineLevel="0" collapsed="false">
      <c r="A99" s="4" t="s">
        <v>437</v>
      </c>
      <c r="B99" s="4" t="s">
        <v>482</v>
      </c>
      <c r="C99" s="4" t="s">
        <v>483</v>
      </c>
      <c r="D99" s="4" t="s">
        <v>28</v>
      </c>
      <c r="E99" s="5" t="s">
        <v>484</v>
      </c>
      <c r="F99" s="5" t="s">
        <v>460</v>
      </c>
      <c r="G99" s="5" t="s">
        <v>16</v>
      </c>
      <c r="H99" s="4" t="s">
        <v>482</v>
      </c>
      <c r="I99" s="5" t="s">
        <v>18</v>
      </c>
      <c r="J99" s="4" t="s">
        <v>485</v>
      </c>
    </row>
    <row r="100" customFormat="false" ht="23.85" hidden="false" customHeight="false" outlineLevel="0" collapsed="false">
      <c r="A100" s="2" t="s">
        <v>437</v>
      </c>
      <c r="B100" s="2" t="s">
        <v>486</v>
      </c>
      <c r="C100" s="2" t="s">
        <v>487</v>
      </c>
      <c r="D100" s="2" t="s">
        <v>28</v>
      </c>
      <c r="E100" s="3" t="s">
        <v>23</v>
      </c>
      <c r="F100" s="3" t="s">
        <v>460</v>
      </c>
      <c r="G100" s="3" t="s">
        <v>16</v>
      </c>
      <c r="H100" s="2" t="s">
        <v>488</v>
      </c>
      <c r="I100" s="3" t="s">
        <v>18</v>
      </c>
      <c r="J100" s="2" t="s">
        <v>489</v>
      </c>
    </row>
    <row r="101" customFormat="false" ht="15" hidden="false" customHeight="false" outlineLevel="0" collapsed="false">
      <c r="A101" s="4" t="s">
        <v>490</v>
      </c>
      <c r="B101" s="4" t="s">
        <v>491</v>
      </c>
      <c r="C101" s="4" t="s">
        <v>241</v>
      </c>
      <c r="D101" s="4" t="s">
        <v>28</v>
      </c>
      <c r="E101" s="5" t="s">
        <v>14</v>
      </c>
      <c r="F101" s="5" t="s">
        <v>48</v>
      </c>
      <c r="G101" s="5" t="s">
        <v>16</v>
      </c>
      <c r="H101" s="4" t="s">
        <v>243</v>
      </c>
      <c r="I101" s="5" t="s">
        <v>18</v>
      </c>
      <c r="J101" s="4" t="s">
        <v>492</v>
      </c>
    </row>
    <row r="102" customFormat="false" ht="23.85" hidden="false" customHeight="false" outlineLevel="0" collapsed="false">
      <c r="A102" s="2" t="s">
        <v>490</v>
      </c>
      <c r="B102" s="2" t="s">
        <v>493</v>
      </c>
      <c r="C102" s="2" t="s">
        <v>494</v>
      </c>
      <c r="D102" s="2" t="s">
        <v>247</v>
      </c>
      <c r="E102" s="3" t="s">
        <v>14</v>
      </c>
      <c r="F102" s="3" t="s">
        <v>48</v>
      </c>
      <c r="G102" s="3" t="s">
        <v>16</v>
      </c>
      <c r="H102" s="2" t="s">
        <v>248</v>
      </c>
      <c r="I102" s="3" t="s">
        <v>18</v>
      </c>
      <c r="J102" s="2" t="s">
        <v>495</v>
      </c>
    </row>
    <row r="103" customFormat="false" ht="15" hidden="false" customHeight="false" outlineLevel="0" collapsed="false">
      <c r="A103" s="4" t="s">
        <v>490</v>
      </c>
      <c r="B103" s="4" t="s">
        <v>496</v>
      </c>
      <c r="C103" s="4" t="s">
        <v>497</v>
      </c>
      <c r="D103" s="4" t="s">
        <v>498</v>
      </c>
      <c r="E103" s="5" t="s">
        <v>14</v>
      </c>
      <c r="F103" s="5" t="s">
        <v>48</v>
      </c>
      <c r="G103" s="5" t="s">
        <v>16</v>
      </c>
      <c r="H103" s="4" t="s">
        <v>499</v>
      </c>
      <c r="I103" s="5" t="s">
        <v>18</v>
      </c>
      <c r="J103" s="4" t="s">
        <v>500</v>
      </c>
    </row>
    <row r="104" customFormat="false" ht="23.85" hidden="false" customHeight="false" outlineLevel="0" collapsed="false">
      <c r="A104" s="2" t="s">
        <v>490</v>
      </c>
      <c r="B104" s="2" t="s">
        <v>501</v>
      </c>
      <c r="C104" s="2" t="s">
        <v>502</v>
      </c>
      <c r="D104" s="2" t="s">
        <v>503</v>
      </c>
      <c r="E104" s="3" t="s">
        <v>38</v>
      </c>
      <c r="F104" s="3" t="s">
        <v>15</v>
      </c>
      <c r="G104" s="3" t="s">
        <v>16</v>
      </c>
      <c r="H104" s="2" t="s">
        <v>504</v>
      </c>
      <c r="I104" s="3" t="s">
        <v>18</v>
      </c>
      <c r="J104" s="2" t="s">
        <v>505</v>
      </c>
    </row>
    <row r="105" customFormat="false" ht="15" hidden="false" customHeight="false" outlineLevel="0" collapsed="false">
      <c r="A105" s="4" t="s">
        <v>490</v>
      </c>
      <c r="B105" s="4" t="s">
        <v>506</v>
      </c>
      <c r="C105" s="4" t="s">
        <v>507</v>
      </c>
      <c r="D105" s="4" t="s">
        <v>508</v>
      </c>
      <c r="E105" s="5" t="s">
        <v>14</v>
      </c>
      <c r="F105" s="5" t="s">
        <v>48</v>
      </c>
      <c r="G105" s="5" t="s">
        <v>16</v>
      </c>
      <c r="H105" s="4" t="s">
        <v>509</v>
      </c>
      <c r="I105" s="5" t="s">
        <v>18</v>
      </c>
      <c r="J105" s="4" t="s">
        <v>510</v>
      </c>
    </row>
    <row r="106" customFormat="false" ht="15" hidden="false" customHeight="false" outlineLevel="0" collapsed="false">
      <c r="A106" s="2" t="s">
        <v>490</v>
      </c>
      <c r="B106" s="2" t="s">
        <v>511</v>
      </c>
      <c r="C106" s="2" t="s">
        <v>512</v>
      </c>
      <c r="D106" s="2" t="s">
        <v>508</v>
      </c>
      <c r="E106" s="3" t="s">
        <v>14</v>
      </c>
      <c r="F106" s="3" t="s">
        <v>48</v>
      </c>
      <c r="G106" s="3" t="s">
        <v>16</v>
      </c>
      <c r="H106" s="2" t="s">
        <v>513</v>
      </c>
      <c r="I106" s="3" t="s">
        <v>18</v>
      </c>
      <c r="J106" s="2" t="s">
        <v>514</v>
      </c>
    </row>
    <row r="107" customFormat="false" ht="15" hidden="false" customHeight="false" outlineLevel="0" collapsed="false">
      <c r="A107" s="4" t="s">
        <v>490</v>
      </c>
      <c r="B107" s="4" t="s">
        <v>515</v>
      </c>
      <c r="C107" s="4" t="s">
        <v>516</v>
      </c>
      <c r="D107" s="4" t="s">
        <v>430</v>
      </c>
      <c r="E107" s="5" t="s">
        <v>14</v>
      </c>
      <c r="F107" s="5" t="s">
        <v>15</v>
      </c>
      <c r="G107" s="5" t="s">
        <v>16</v>
      </c>
      <c r="H107" s="4" t="s">
        <v>517</v>
      </c>
      <c r="I107" s="5" t="s">
        <v>18</v>
      </c>
      <c r="J107" s="4" t="s">
        <v>518</v>
      </c>
    </row>
    <row r="108" customFormat="false" ht="15" hidden="false" customHeight="false" outlineLevel="0" collapsed="false">
      <c r="A108" s="2" t="s">
        <v>490</v>
      </c>
      <c r="B108" s="2" t="s">
        <v>519</v>
      </c>
      <c r="C108" s="2" t="s">
        <v>520</v>
      </c>
      <c r="D108" s="2" t="s">
        <v>521</v>
      </c>
      <c r="E108" s="3" t="s">
        <v>14</v>
      </c>
      <c r="F108" s="3" t="s">
        <v>48</v>
      </c>
      <c r="G108" s="3" t="s">
        <v>16</v>
      </c>
      <c r="H108" s="2" t="s">
        <v>522</v>
      </c>
      <c r="I108" s="3" t="s">
        <v>18</v>
      </c>
      <c r="J108" s="2" t="s">
        <v>523</v>
      </c>
    </row>
    <row r="109" customFormat="false" ht="23.85" hidden="false" customHeight="false" outlineLevel="0" collapsed="false">
      <c r="A109" s="4" t="s">
        <v>490</v>
      </c>
      <c r="B109" s="4" t="s">
        <v>524</v>
      </c>
      <c r="C109" s="4" t="s">
        <v>525</v>
      </c>
      <c r="D109" s="4" t="s">
        <v>526</v>
      </c>
      <c r="E109" s="5" t="s">
        <v>14</v>
      </c>
      <c r="F109" s="5" t="s">
        <v>48</v>
      </c>
      <c r="G109" s="5" t="s">
        <v>16</v>
      </c>
      <c r="H109" s="4" t="s">
        <v>527</v>
      </c>
      <c r="I109" s="5" t="s">
        <v>18</v>
      </c>
      <c r="J109" s="4" t="s">
        <v>528</v>
      </c>
    </row>
    <row r="110" customFormat="false" ht="15" hidden="false" customHeight="false" outlineLevel="0" collapsed="false">
      <c r="A110" s="2" t="s">
        <v>490</v>
      </c>
      <c r="B110" s="2" t="s">
        <v>529</v>
      </c>
      <c r="C110" s="2" t="s">
        <v>530</v>
      </c>
      <c r="D110" s="2" t="s">
        <v>531</v>
      </c>
      <c r="E110" s="3" t="s">
        <v>14</v>
      </c>
      <c r="F110" s="3" t="s">
        <v>48</v>
      </c>
      <c r="G110" s="3" t="s">
        <v>16</v>
      </c>
      <c r="H110" s="2" t="s">
        <v>532</v>
      </c>
      <c r="I110" s="3" t="s">
        <v>18</v>
      </c>
      <c r="J110" s="2" t="s">
        <v>533</v>
      </c>
    </row>
    <row r="111" customFormat="false" ht="23.85" hidden="false" customHeight="false" outlineLevel="0" collapsed="false">
      <c r="A111" s="4" t="s">
        <v>490</v>
      </c>
      <c r="B111" s="4" t="s">
        <v>534</v>
      </c>
      <c r="C111" s="4" t="s">
        <v>535</v>
      </c>
      <c r="D111" s="4" t="s">
        <v>498</v>
      </c>
      <c r="E111" s="5" t="s">
        <v>14</v>
      </c>
      <c r="F111" s="5" t="s">
        <v>48</v>
      </c>
      <c r="G111" s="5" t="s">
        <v>16</v>
      </c>
      <c r="H111" s="4" t="s">
        <v>253</v>
      </c>
      <c r="I111" s="5" t="s">
        <v>18</v>
      </c>
      <c r="J111" s="4" t="s">
        <v>536</v>
      </c>
    </row>
    <row r="112" customFormat="false" ht="15" hidden="false" customHeight="false" outlineLevel="0" collapsed="false">
      <c r="A112" s="2" t="s">
        <v>490</v>
      </c>
      <c r="B112" s="2" t="s">
        <v>537</v>
      </c>
      <c r="C112" s="2" t="s">
        <v>538</v>
      </c>
      <c r="D112" s="2" t="s">
        <v>80</v>
      </c>
      <c r="E112" s="3" t="s">
        <v>116</v>
      </c>
      <c r="F112" s="3" t="s">
        <v>48</v>
      </c>
      <c r="G112" s="3" t="s">
        <v>16</v>
      </c>
      <c r="H112" s="2" t="s">
        <v>539</v>
      </c>
      <c r="I112" s="3" t="s">
        <v>18</v>
      </c>
      <c r="J112" s="2" t="s">
        <v>540</v>
      </c>
    </row>
    <row r="113" customFormat="false" ht="23.85" hidden="false" customHeight="false" outlineLevel="0" collapsed="false">
      <c r="A113" s="4" t="s">
        <v>541</v>
      </c>
      <c r="B113" s="4" t="s">
        <v>542</v>
      </c>
      <c r="C113" s="4" t="s">
        <v>125</v>
      </c>
      <c r="D113" s="4" t="s">
        <v>126</v>
      </c>
      <c r="E113" s="5" t="s">
        <v>47</v>
      </c>
      <c r="F113" s="5" t="s">
        <v>48</v>
      </c>
      <c r="G113" s="5" t="s">
        <v>16</v>
      </c>
      <c r="H113" s="4" t="s">
        <v>127</v>
      </c>
      <c r="I113" s="5" t="s">
        <v>18</v>
      </c>
      <c r="J113" s="4" t="s">
        <v>543</v>
      </c>
    </row>
    <row r="114" customFormat="false" ht="15" hidden="false" customHeight="false" outlineLevel="0" collapsed="false">
      <c r="A114" s="2" t="s">
        <v>541</v>
      </c>
      <c r="B114" s="2" t="s">
        <v>544</v>
      </c>
      <c r="C114" s="2" t="s">
        <v>545</v>
      </c>
      <c r="D114" s="2" t="s">
        <v>498</v>
      </c>
      <c r="E114" s="3" t="s">
        <v>47</v>
      </c>
      <c r="F114" s="3" t="s">
        <v>48</v>
      </c>
      <c r="G114" s="3" t="s">
        <v>16</v>
      </c>
      <c r="H114" s="2" t="s">
        <v>546</v>
      </c>
      <c r="I114" s="3" t="s">
        <v>18</v>
      </c>
      <c r="J114" s="2" t="s">
        <v>547</v>
      </c>
    </row>
    <row r="115" customFormat="false" ht="15" hidden="false" customHeight="false" outlineLevel="0" collapsed="false">
      <c r="A115" s="4" t="s">
        <v>541</v>
      </c>
      <c r="B115" s="4" t="s">
        <v>548</v>
      </c>
      <c r="C115" s="4" t="s">
        <v>549</v>
      </c>
      <c r="D115" s="4" t="s">
        <v>508</v>
      </c>
      <c r="E115" s="5" t="s">
        <v>14</v>
      </c>
      <c r="F115" s="5" t="s">
        <v>48</v>
      </c>
      <c r="G115" s="5" t="s">
        <v>16</v>
      </c>
      <c r="H115" s="4" t="s">
        <v>550</v>
      </c>
      <c r="I115" s="5" t="s">
        <v>18</v>
      </c>
      <c r="J115" s="4" t="s">
        <v>551</v>
      </c>
    </row>
    <row r="116" customFormat="false" ht="15" hidden="false" customHeight="false" outlineLevel="0" collapsed="false">
      <c r="A116" s="2" t="s">
        <v>541</v>
      </c>
      <c r="B116" s="2" t="s">
        <v>552</v>
      </c>
      <c r="C116" s="2" t="s">
        <v>553</v>
      </c>
      <c r="D116" s="2" t="s">
        <v>28</v>
      </c>
      <c r="E116" s="3" t="s">
        <v>14</v>
      </c>
      <c r="F116" s="3" t="s">
        <v>48</v>
      </c>
      <c r="G116" s="3" t="s">
        <v>16</v>
      </c>
      <c r="H116" s="2" t="s">
        <v>550</v>
      </c>
      <c r="I116" s="3" t="s">
        <v>18</v>
      </c>
      <c r="J116" s="2" t="s">
        <v>554</v>
      </c>
    </row>
    <row r="117" customFormat="false" ht="15" hidden="false" customHeight="false" outlineLevel="0" collapsed="false">
      <c r="A117" s="4" t="s">
        <v>541</v>
      </c>
      <c r="B117" s="4" t="s">
        <v>555</v>
      </c>
      <c r="C117" s="4" t="s">
        <v>556</v>
      </c>
      <c r="D117" s="4" t="s">
        <v>465</v>
      </c>
      <c r="E117" s="5" t="s">
        <v>14</v>
      </c>
      <c r="F117" s="5" t="s">
        <v>48</v>
      </c>
      <c r="G117" s="5" t="s">
        <v>16</v>
      </c>
      <c r="H117" s="4" t="s">
        <v>550</v>
      </c>
      <c r="I117" s="5" t="s">
        <v>18</v>
      </c>
      <c r="J117" s="4" t="s">
        <v>557</v>
      </c>
    </row>
    <row r="118" customFormat="false" ht="15" hidden="false" customHeight="false" outlineLevel="0" collapsed="false">
      <c r="A118" s="2" t="s">
        <v>541</v>
      </c>
      <c r="B118" s="2" t="s">
        <v>558</v>
      </c>
      <c r="C118" s="2" t="s">
        <v>559</v>
      </c>
      <c r="D118" s="2" t="s">
        <v>560</v>
      </c>
      <c r="E118" s="3" t="s">
        <v>38</v>
      </c>
      <c r="F118" s="3" t="s">
        <v>15</v>
      </c>
      <c r="G118" s="3" t="s">
        <v>16</v>
      </c>
      <c r="H118" s="2" t="s">
        <v>561</v>
      </c>
      <c r="I118" s="3" t="s">
        <v>18</v>
      </c>
      <c r="J118" s="2" t="s">
        <v>562</v>
      </c>
    </row>
    <row r="119" customFormat="false" ht="23.85" hidden="false" customHeight="false" outlineLevel="0" collapsed="false">
      <c r="A119" s="4" t="s">
        <v>541</v>
      </c>
      <c r="B119" s="4" t="s">
        <v>563</v>
      </c>
      <c r="C119" s="4" t="s">
        <v>564</v>
      </c>
      <c r="D119" s="4" t="s">
        <v>508</v>
      </c>
      <c r="E119" s="5" t="s">
        <v>14</v>
      </c>
      <c r="F119" s="5" t="s">
        <v>48</v>
      </c>
      <c r="G119" s="5" t="s">
        <v>16</v>
      </c>
      <c r="H119" s="4" t="s">
        <v>565</v>
      </c>
      <c r="I119" s="5" t="s">
        <v>18</v>
      </c>
      <c r="J119" s="4" t="s">
        <v>566</v>
      </c>
    </row>
    <row r="120" customFormat="false" ht="15" hidden="false" customHeight="false" outlineLevel="0" collapsed="false">
      <c r="A120" s="2" t="s">
        <v>567</v>
      </c>
      <c r="B120" s="2" t="s">
        <v>568</v>
      </c>
      <c r="C120" s="2" t="s">
        <v>569</v>
      </c>
      <c r="D120" s="2" t="s">
        <v>570</v>
      </c>
      <c r="E120" s="3" t="s">
        <v>14</v>
      </c>
      <c r="F120" s="3" t="s">
        <v>15</v>
      </c>
      <c r="G120" s="3" t="s">
        <v>16</v>
      </c>
      <c r="H120" s="2" t="s">
        <v>571</v>
      </c>
      <c r="I120" s="3" t="s">
        <v>18</v>
      </c>
      <c r="J120" s="2" t="s">
        <v>572</v>
      </c>
    </row>
    <row r="121" customFormat="false" ht="15" hidden="false" customHeight="false" outlineLevel="0" collapsed="false">
      <c r="A121" s="4" t="s">
        <v>567</v>
      </c>
      <c r="B121" s="4" t="s">
        <v>573</v>
      </c>
      <c r="C121" s="4" t="s">
        <v>574</v>
      </c>
      <c r="D121" s="4" t="s">
        <v>62</v>
      </c>
      <c r="E121" s="5" t="s">
        <v>116</v>
      </c>
      <c r="F121" s="5" t="s">
        <v>575</v>
      </c>
      <c r="G121" s="5" t="s">
        <v>16</v>
      </c>
      <c r="H121" s="4" t="s">
        <v>573</v>
      </c>
      <c r="I121" s="5" t="s">
        <v>18</v>
      </c>
      <c r="J121" s="4" t="s">
        <v>576</v>
      </c>
    </row>
    <row r="122" customFormat="false" ht="23.85" hidden="false" customHeight="false" outlineLevel="0" collapsed="false">
      <c r="A122" s="2" t="s">
        <v>567</v>
      </c>
      <c r="B122" s="2" t="s">
        <v>577</v>
      </c>
      <c r="C122" s="2" t="s">
        <v>578</v>
      </c>
      <c r="D122" s="2" t="s">
        <v>579</v>
      </c>
      <c r="E122" s="3" t="s">
        <v>14</v>
      </c>
      <c r="F122" s="3" t="s">
        <v>48</v>
      </c>
      <c r="G122" s="3" t="s">
        <v>16</v>
      </c>
      <c r="H122" s="2" t="s">
        <v>577</v>
      </c>
      <c r="I122" s="3" t="s">
        <v>18</v>
      </c>
      <c r="J122" s="2" t="s">
        <v>580</v>
      </c>
    </row>
    <row r="123" customFormat="false" ht="23.85" hidden="false" customHeight="false" outlineLevel="0" collapsed="false">
      <c r="A123" s="4" t="s">
        <v>567</v>
      </c>
      <c r="B123" s="4" t="s">
        <v>581</v>
      </c>
      <c r="C123" s="4" t="s">
        <v>582</v>
      </c>
      <c r="D123" s="4" t="s">
        <v>583</v>
      </c>
      <c r="E123" s="5" t="s">
        <v>14</v>
      </c>
      <c r="F123" s="5" t="s">
        <v>48</v>
      </c>
      <c r="G123" s="5" t="s">
        <v>16</v>
      </c>
      <c r="H123" s="4" t="s">
        <v>584</v>
      </c>
      <c r="I123" s="5" t="s">
        <v>18</v>
      </c>
      <c r="J123" s="4" t="s">
        <v>585</v>
      </c>
    </row>
    <row r="124" customFormat="false" ht="23.85" hidden="false" customHeight="false" outlineLevel="0" collapsed="false">
      <c r="A124" s="2" t="s">
        <v>567</v>
      </c>
      <c r="B124" s="2" t="s">
        <v>275</v>
      </c>
      <c r="C124" s="2" t="s">
        <v>586</v>
      </c>
      <c r="D124" s="2" t="s">
        <v>587</v>
      </c>
      <c r="E124" s="3" t="s">
        <v>14</v>
      </c>
      <c r="F124" s="3" t="s">
        <v>575</v>
      </c>
      <c r="G124" s="3" t="s">
        <v>16</v>
      </c>
      <c r="H124" s="2" t="s">
        <v>588</v>
      </c>
      <c r="I124" s="3" t="s">
        <v>18</v>
      </c>
      <c r="J124" s="2" t="s">
        <v>589</v>
      </c>
    </row>
    <row r="125" customFormat="false" ht="23.85" hidden="false" customHeight="false" outlineLevel="0" collapsed="false">
      <c r="A125" s="4" t="s">
        <v>567</v>
      </c>
      <c r="B125" s="4" t="s">
        <v>590</v>
      </c>
      <c r="C125" s="4" t="s">
        <v>591</v>
      </c>
      <c r="D125" s="4" t="s">
        <v>592</v>
      </c>
      <c r="E125" s="5" t="s">
        <v>14</v>
      </c>
      <c r="F125" s="5" t="s">
        <v>48</v>
      </c>
      <c r="G125" s="5" t="s">
        <v>16</v>
      </c>
      <c r="H125" s="4" t="s">
        <v>268</v>
      </c>
      <c r="I125" s="5" t="s">
        <v>18</v>
      </c>
      <c r="J125" s="4" t="s">
        <v>593</v>
      </c>
    </row>
    <row r="126" customFormat="false" ht="15" hidden="false" customHeight="false" outlineLevel="0" collapsed="false">
      <c r="A126" s="2" t="s">
        <v>594</v>
      </c>
      <c r="B126" s="2" t="s">
        <v>515</v>
      </c>
      <c r="C126" s="2" t="s">
        <v>516</v>
      </c>
      <c r="D126" s="2" t="s">
        <v>595</v>
      </c>
      <c r="E126" s="3" t="s">
        <v>14</v>
      </c>
      <c r="F126" s="3" t="s">
        <v>29</v>
      </c>
      <c r="G126" s="3" t="s">
        <v>16</v>
      </c>
      <c r="H126" s="2" t="s">
        <v>517</v>
      </c>
      <c r="I126" s="3" t="s">
        <v>18</v>
      </c>
      <c r="J126" s="2" t="s">
        <v>596</v>
      </c>
    </row>
    <row r="127" customFormat="false" ht="15" hidden="false" customHeight="false" outlineLevel="0" collapsed="false">
      <c r="A127" s="4" t="s">
        <v>594</v>
      </c>
      <c r="B127" s="4" t="s">
        <v>597</v>
      </c>
      <c r="C127" s="4" t="s">
        <v>598</v>
      </c>
      <c r="D127" s="4" t="s">
        <v>599</v>
      </c>
      <c r="E127" s="5" t="s">
        <v>14</v>
      </c>
      <c r="F127" s="5" t="s">
        <v>48</v>
      </c>
      <c r="G127" s="5" t="s">
        <v>16</v>
      </c>
      <c r="H127" s="4" t="s">
        <v>600</v>
      </c>
      <c r="I127" s="5" t="s">
        <v>18</v>
      </c>
      <c r="J127" s="4" t="s">
        <v>601</v>
      </c>
    </row>
    <row r="128" customFormat="false" ht="15" hidden="false" customHeight="false" outlineLevel="0" collapsed="false">
      <c r="A128" s="2" t="s">
        <v>594</v>
      </c>
      <c r="B128" s="2" t="s">
        <v>602</v>
      </c>
      <c r="C128" s="2" t="s">
        <v>603</v>
      </c>
      <c r="D128" s="2" t="s">
        <v>604</v>
      </c>
      <c r="E128" s="3" t="s">
        <v>14</v>
      </c>
      <c r="F128" s="3" t="s">
        <v>48</v>
      </c>
      <c r="G128" s="3" t="s">
        <v>16</v>
      </c>
      <c r="H128" s="2" t="s">
        <v>602</v>
      </c>
      <c r="I128" s="3" t="s">
        <v>18</v>
      </c>
      <c r="J128" s="2" t="s">
        <v>605</v>
      </c>
    </row>
    <row r="129" customFormat="false" ht="15" hidden="false" customHeight="false" outlineLevel="0" collapsed="false">
      <c r="A129" s="4" t="s">
        <v>594</v>
      </c>
      <c r="B129" s="4" t="s">
        <v>606</v>
      </c>
      <c r="C129" s="4" t="s">
        <v>607</v>
      </c>
      <c r="D129" s="4" t="s">
        <v>608</v>
      </c>
      <c r="E129" s="5" t="s">
        <v>14</v>
      </c>
      <c r="F129" s="5" t="s">
        <v>48</v>
      </c>
      <c r="G129" s="5" t="s">
        <v>16</v>
      </c>
      <c r="H129" s="4" t="s">
        <v>609</v>
      </c>
      <c r="I129" s="5" t="s">
        <v>18</v>
      </c>
      <c r="J129" s="4" t="s">
        <v>610</v>
      </c>
    </row>
    <row r="130" customFormat="false" ht="15" hidden="false" customHeight="false" outlineLevel="0" collapsed="false">
      <c r="A130" s="2" t="s">
        <v>594</v>
      </c>
      <c r="B130" s="2" t="s">
        <v>611</v>
      </c>
      <c r="C130" s="2" t="s">
        <v>612</v>
      </c>
      <c r="D130" s="2" t="s">
        <v>613</v>
      </c>
      <c r="E130" s="3" t="s">
        <v>14</v>
      </c>
      <c r="F130" s="3" t="s">
        <v>48</v>
      </c>
      <c r="G130" s="3" t="s">
        <v>16</v>
      </c>
      <c r="H130" s="2" t="s">
        <v>614</v>
      </c>
      <c r="I130" s="3" t="s">
        <v>18</v>
      </c>
      <c r="J130" s="2" t="s">
        <v>615</v>
      </c>
    </row>
    <row r="131" customFormat="false" ht="15" hidden="false" customHeight="false" outlineLevel="0" collapsed="false">
      <c r="A131" s="4" t="s">
        <v>594</v>
      </c>
      <c r="B131" s="4" t="s">
        <v>616</v>
      </c>
      <c r="C131" s="4" t="s">
        <v>617</v>
      </c>
      <c r="D131" s="4" t="s">
        <v>618</v>
      </c>
      <c r="E131" s="5" t="s">
        <v>14</v>
      </c>
      <c r="F131" s="5" t="s">
        <v>48</v>
      </c>
      <c r="G131" s="5" t="s">
        <v>16</v>
      </c>
      <c r="H131" s="4" t="s">
        <v>619</v>
      </c>
      <c r="I131" s="5" t="s">
        <v>18</v>
      </c>
      <c r="J131" s="4" t="s">
        <v>620</v>
      </c>
    </row>
    <row r="132" customFormat="false" ht="23.85" hidden="false" customHeight="false" outlineLevel="0" collapsed="false">
      <c r="A132" s="2" t="s">
        <v>621</v>
      </c>
      <c r="B132" s="2" t="s">
        <v>622</v>
      </c>
      <c r="C132" s="2" t="s">
        <v>623</v>
      </c>
      <c r="D132" s="2" t="s">
        <v>624</v>
      </c>
      <c r="E132" s="3" t="s">
        <v>110</v>
      </c>
      <c r="F132" s="3" t="s">
        <v>48</v>
      </c>
      <c r="G132" s="3" t="s">
        <v>16</v>
      </c>
      <c r="H132" s="2" t="s">
        <v>91</v>
      </c>
      <c r="I132" s="3" t="s">
        <v>18</v>
      </c>
      <c r="J132" s="2" t="s">
        <v>625</v>
      </c>
    </row>
    <row r="133" customFormat="false" ht="15" hidden="false" customHeight="false" outlineLevel="0" collapsed="false">
      <c r="A133" s="4" t="s">
        <v>621</v>
      </c>
      <c r="B133" s="4" t="s">
        <v>626</v>
      </c>
      <c r="C133" s="4" t="s">
        <v>627</v>
      </c>
      <c r="D133" s="4" t="s">
        <v>624</v>
      </c>
      <c r="E133" s="5" t="s">
        <v>116</v>
      </c>
      <c r="F133" s="5" t="s">
        <v>48</v>
      </c>
      <c r="G133" s="5" t="s">
        <v>16</v>
      </c>
      <c r="H133" s="4" t="s">
        <v>628</v>
      </c>
      <c r="I133" s="5" t="s">
        <v>18</v>
      </c>
      <c r="J133" s="4" t="s">
        <v>629</v>
      </c>
    </row>
    <row r="134" customFormat="false" ht="23.85" hidden="false" customHeight="false" outlineLevel="0" collapsed="false">
      <c r="A134" s="2" t="s">
        <v>621</v>
      </c>
      <c r="B134" s="2" t="s">
        <v>630</v>
      </c>
      <c r="C134" s="2" t="s">
        <v>631</v>
      </c>
      <c r="D134" s="2" t="s">
        <v>624</v>
      </c>
      <c r="E134" s="3" t="s">
        <v>47</v>
      </c>
      <c r="F134" s="3" t="s">
        <v>48</v>
      </c>
      <c r="G134" s="3" t="s">
        <v>16</v>
      </c>
      <c r="H134" s="2" t="s">
        <v>111</v>
      </c>
      <c r="I134" s="3" t="s">
        <v>18</v>
      </c>
      <c r="J134" s="2" t="s">
        <v>632</v>
      </c>
    </row>
    <row r="135" customFormat="false" ht="15" hidden="false" customHeight="false" outlineLevel="0" collapsed="false">
      <c r="A135" s="4" t="s">
        <v>621</v>
      </c>
      <c r="B135" s="4" t="s">
        <v>633</v>
      </c>
      <c r="C135" s="4" t="s">
        <v>634</v>
      </c>
      <c r="D135" s="4" t="s">
        <v>624</v>
      </c>
      <c r="E135" s="5" t="s">
        <v>116</v>
      </c>
      <c r="F135" s="5" t="s">
        <v>48</v>
      </c>
      <c r="G135" s="5" t="s">
        <v>16</v>
      </c>
      <c r="H135" s="4" t="s">
        <v>635</v>
      </c>
      <c r="I135" s="5" t="s">
        <v>18</v>
      </c>
      <c r="J135" s="4" t="s">
        <v>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1" t="s">
        <v>0</v>
      </c>
      <c r="B1" s="1" t="s">
        <v>637</v>
      </c>
      <c r="C1" s="1" t="s">
        <v>48</v>
      </c>
      <c r="D1" s="1" t="s">
        <v>15</v>
      </c>
      <c r="E1" s="1" t="s">
        <v>29</v>
      </c>
      <c r="F1" s="1" t="s">
        <v>638</v>
      </c>
    </row>
    <row r="2" customFormat="false" ht="15" hidden="false" customHeight="false" outlineLevel="0" collapsed="false">
      <c r="A2" s="2" t="s">
        <v>10</v>
      </c>
      <c r="B2" s="6" t="n">
        <f aca="false">COUNTIF('Mining Websites'!A2:A135,A2)</f>
        <v>15</v>
      </c>
      <c r="C2" s="6" t="n">
        <f aca="false">COUNTIFS('Mining Websites'!A2:A135,A2,'Mining Websites'!F2:F135,"Free")</f>
        <v>7</v>
      </c>
      <c r="D2" s="6" t="n">
        <f aca="false">COUNTIFS('Mining Websites'!A2:A135,A2,'Mining Websites'!F2:F135,"Freemium")</f>
        <v>4</v>
      </c>
      <c r="E2" s="6" t="n">
        <f aca="false">COUNTIFS('Mining Websites'!A2:A135,A2,'Mining Websites'!F2:F135,"Subscription")</f>
        <v>4</v>
      </c>
      <c r="F2" s="6" t="n">
        <f aca="false">COUNTIFS('Mining Websites'!A2:A135,A2,'Mining Websites'!F2:F135,"Membership")+COUNTIFS('Mining Websites'!A2:A135,A2,'Mining Websites'!F2:F135,"By Invitation")+COUNTIFS('Mining Websites'!A2:A135,A2,'Mining Websites'!F2:F135,"Paid")</f>
        <v>0</v>
      </c>
    </row>
    <row r="3" customFormat="false" ht="15" hidden="false" customHeight="false" outlineLevel="0" collapsed="false">
      <c r="A3" s="4" t="s">
        <v>87</v>
      </c>
      <c r="B3" s="7" t="n">
        <f aca="false">COUNTIF('Mining Websites'!A2:A135,A3)</f>
        <v>6</v>
      </c>
      <c r="C3" s="7" t="n">
        <f aca="false">COUNTIFS('Mining Websites'!A2:A135,A3,'Mining Websites'!F2:F135,"Free")</f>
        <v>6</v>
      </c>
      <c r="D3" s="7" t="n">
        <f aca="false">COUNTIFS('Mining Websites'!A2:A135,A3,'Mining Websites'!F2:F135,"Freemium")</f>
        <v>0</v>
      </c>
      <c r="E3" s="7" t="n">
        <f aca="false">COUNTIFS('Mining Websites'!A2:A135,A3,'Mining Websites'!F2:F135,"Subscription")</f>
        <v>0</v>
      </c>
      <c r="F3" s="7" t="n">
        <f aca="false">COUNTIFS('Mining Websites'!A2:A135,A3,'Mining Websites'!F2:F135,"Membership")+COUNTIFS('Mining Websites'!A2:A135,A3,'Mining Websites'!F2:F135,"By Invitation")+COUNTIFS('Mining Websites'!A2:A135,A3,'Mining Websites'!F2:F135,"Paid")</f>
        <v>0</v>
      </c>
    </row>
    <row r="4" customFormat="false" ht="15" hidden="false" customHeight="false" outlineLevel="0" collapsed="false">
      <c r="A4" s="2" t="s">
        <v>119</v>
      </c>
      <c r="B4" s="6" t="n">
        <f aca="false">COUNTIF('Mining Websites'!A2:A135,A4)</f>
        <v>6</v>
      </c>
      <c r="C4" s="6" t="n">
        <f aca="false">COUNTIFS('Mining Websites'!A2:A135,A4,'Mining Websites'!F2:F135,"Free")</f>
        <v>3</v>
      </c>
      <c r="D4" s="6" t="n">
        <f aca="false">COUNTIFS('Mining Websites'!A2:A135,A4,'Mining Websites'!F2:F135,"Freemium")</f>
        <v>0</v>
      </c>
      <c r="E4" s="6" t="n">
        <f aca="false">COUNTIFS('Mining Websites'!A2:A135,A4,'Mining Websites'!F2:F135,"Subscription")</f>
        <v>3</v>
      </c>
      <c r="F4" s="6" t="n">
        <f aca="false">COUNTIFS('Mining Websites'!A2:A135,A4,'Mining Websites'!F2:F135,"Membership")+COUNTIFS('Mining Websites'!A2:A135,A4,'Mining Websites'!F2:F135,"By Invitation")+COUNTIFS('Mining Websites'!A2:A135,A4,'Mining Websites'!F2:F135,"Paid")</f>
        <v>0</v>
      </c>
    </row>
    <row r="5" customFormat="false" ht="15" hidden="false" customHeight="false" outlineLevel="0" collapsed="false">
      <c r="A5" s="4" t="s">
        <v>148</v>
      </c>
      <c r="B5" s="7" t="n">
        <f aca="false">COUNTIF('Mining Websites'!A2:A135,A5)</f>
        <v>9</v>
      </c>
      <c r="C5" s="7" t="n">
        <f aca="false">COUNTIFS('Mining Websites'!A2:A135,A5,'Mining Websites'!F2:F135,"Free")</f>
        <v>1</v>
      </c>
      <c r="D5" s="7" t="n">
        <f aca="false">COUNTIFS('Mining Websites'!A2:A135,A5,'Mining Websites'!F2:F135,"Freemium")</f>
        <v>6</v>
      </c>
      <c r="E5" s="7" t="n">
        <f aca="false">COUNTIFS('Mining Websites'!A2:A135,A5,'Mining Websites'!F2:F135,"Subscription")</f>
        <v>2</v>
      </c>
      <c r="F5" s="7" t="n">
        <f aca="false">COUNTIFS('Mining Websites'!A2:A135,A5,'Mining Websites'!F2:F135,"Membership")+COUNTIFS('Mining Websites'!A2:A135,A5,'Mining Websites'!F2:F135,"By Invitation")+COUNTIFS('Mining Websites'!A2:A135,A5,'Mining Websites'!F2:F135,"Paid")</f>
        <v>0</v>
      </c>
    </row>
    <row r="6" customFormat="false" ht="15" hidden="false" customHeight="false" outlineLevel="0" collapsed="false">
      <c r="A6" s="2" t="s">
        <v>191</v>
      </c>
      <c r="B6" s="6" t="n">
        <f aca="false">COUNTIF('Mining Websites'!A2:A135,A6)</f>
        <v>9</v>
      </c>
      <c r="C6" s="6" t="n">
        <f aca="false">COUNTIFS('Mining Websites'!A2:A135,A6,'Mining Websites'!F2:F135,"Free")</f>
        <v>4</v>
      </c>
      <c r="D6" s="6" t="n">
        <f aca="false">COUNTIFS('Mining Websites'!A2:A135,A6,'Mining Websites'!F2:F135,"Freemium")</f>
        <v>4</v>
      </c>
      <c r="E6" s="6" t="n">
        <f aca="false">COUNTIFS('Mining Websites'!A2:A135,A6,'Mining Websites'!F2:F135,"Subscription")</f>
        <v>1</v>
      </c>
      <c r="F6" s="6" t="n">
        <f aca="false">COUNTIFS('Mining Websites'!A2:A135,A6,'Mining Websites'!F2:F135,"Membership")+COUNTIFS('Mining Websites'!A2:A135,A6,'Mining Websites'!F2:F135,"By Invitation")+COUNTIFS('Mining Websites'!A2:A135,A6,'Mining Websites'!F2:F135,"Paid")</f>
        <v>0</v>
      </c>
    </row>
    <row r="7" customFormat="false" ht="15" hidden="false" customHeight="false" outlineLevel="0" collapsed="false">
      <c r="A7" s="4" t="s">
        <v>234</v>
      </c>
      <c r="B7" s="7" t="n">
        <f aca="false">COUNTIF('Mining Websites'!A2:A135,A7)</f>
        <v>9</v>
      </c>
      <c r="C7" s="7" t="n">
        <f aca="false">COUNTIFS('Mining Websites'!A2:A135,A7,'Mining Websites'!F2:F135,"Free")</f>
        <v>6</v>
      </c>
      <c r="D7" s="7" t="n">
        <f aca="false">COUNTIFS('Mining Websites'!A2:A135,A7,'Mining Websites'!F2:F135,"Freemium")</f>
        <v>1</v>
      </c>
      <c r="E7" s="7" t="n">
        <f aca="false">COUNTIFS('Mining Websites'!A2:A135,A7,'Mining Websites'!F2:F135,"Subscription")</f>
        <v>2</v>
      </c>
      <c r="F7" s="7" t="n">
        <f aca="false">COUNTIFS('Mining Websites'!A2:A135,A7,'Mining Websites'!F2:F135,"Membership")+COUNTIFS('Mining Websites'!A2:A135,A7,'Mining Websites'!F2:F135,"By Invitation")+COUNTIFS('Mining Websites'!A2:A135,A7,'Mining Websites'!F2:F135,"Paid")</f>
        <v>0</v>
      </c>
    </row>
    <row r="8" customFormat="false" ht="15" hidden="false" customHeight="false" outlineLevel="0" collapsed="false">
      <c r="A8" s="2" t="s">
        <v>277</v>
      </c>
      <c r="B8" s="6" t="n">
        <f aca="false">COUNTIF('Mining Websites'!A2:A135,A8)</f>
        <v>6</v>
      </c>
      <c r="C8" s="6" t="n">
        <f aca="false">COUNTIFS('Mining Websites'!A2:A135,A8,'Mining Websites'!F2:F135,"Free")</f>
        <v>6</v>
      </c>
      <c r="D8" s="6" t="n">
        <f aca="false">COUNTIFS('Mining Websites'!A2:A135,A8,'Mining Websites'!F2:F135,"Freemium")</f>
        <v>0</v>
      </c>
      <c r="E8" s="6" t="n">
        <f aca="false">COUNTIFS('Mining Websites'!A2:A135,A8,'Mining Websites'!F2:F135,"Subscription")</f>
        <v>0</v>
      </c>
      <c r="F8" s="6" t="n">
        <f aca="false">COUNTIFS('Mining Websites'!A2:A135,A8,'Mining Websites'!F2:F135,"Membership")+COUNTIFS('Mining Websites'!A2:A135,A8,'Mining Websites'!F2:F135,"By Invitation")+COUNTIFS('Mining Websites'!A2:A135,A8,'Mining Websites'!F2:F135,"Paid")</f>
        <v>0</v>
      </c>
    </row>
    <row r="9" customFormat="false" ht="15" hidden="false" customHeight="false" outlineLevel="0" collapsed="false">
      <c r="A9" s="4" t="s">
        <v>307</v>
      </c>
      <c r="B9" s="7" t="n">
        <f aca="false">COUNTIF('Mining Websites'!A2:A135,A9)</f>
        <v>6</v>
      </c>
      <c r="C9" s="7" t="n">
        <f aca="false">COUNTIFS('Mining Websites'!A2:A135,A9,'Mining Websites'!F2:F135,"Free")</f>
        <v>6</v>
      </c>
      <c r="D9" s="7" t="n">
        <f aca="false">COUNTIFS('Mining Websites'!A2:A135,A9,'Mining Websites'!F2:F135,"Freemium")</f>
        <v>0</v>
      </c>
      <c r="E9" s="7" t="n">
        <f aca="false">COUNTIFS('Mining Websites'!A2:A135,A9,'Mining Websites'!F2:F135,"Subscription")</f>
        <v>0</v>
      </c>
      <c r="F9" s="7" t="n">
        <f aca="false">COUNTIFS('Mining Websites'!A2:A135,A9,'Mining Websites'!F2:F135,"Membership")+COUNTIFS('Mining Websites'!A2:A135,A9,'Mining Websites'!F2:F135,"By Invitation")+COUNTIFS('Mining Websites'!A2:A135,A9,'Mining Websites'!F2:F135,"Paid")</f>
        <v>0</v>
      </c>
    </row>
    <row r="10" customFormat="false" ht="15" hidden="false" customHeight="false" outlineLevel="0" collapsed="false">
      <c r="A10" s="2" t="s">
        <v>341</v>
      </c>
      <c r="B10" s="6" t="n">
        <f aca="false">COUNTIF('Mining Websites'!A2:A135,A10)</f>
        <v>7</v>
      </c>
      <c r="C10" s="6" t="n">
        <f aca="false">COUNTIFS('Mining Websites'!A2:A135,A10,'Mining Websites'!F2:F135,"Free")</f>
        <v>4</v>
      </c>
      <c r="D10" s="6" t="n">
        <f aca="false">COUNTIFS('Mining Websites'!A2:A135,A10,'Mining Websites'!F2:F135,"Freemium")</f>
        <v>1</v>
      </c>
      <c r="E10" s="6" t="n">
        <f aca="false">COUNTIFS('Mining Websites'!A2:A135,A10,'Mining Websites'!F2:F135,"Subscription")</f>
        <v>2</v>
      </c>
      <c r="F10" s="6" t="n">
        <f aca="false">COUNTIFS('Mining Websites'!A2:A135,A10,'Mining Websites'!F2:F135,"Membership")+COUNTIFS('Mining Websites'!A2:A135,A10,'Mining Websites'!F2:F135,"By Invitation")+COUNTIFS('Mining Websites'!A2:A135,A10,'Mining Websites'!F2:F135,"Paid")</f>
        <v>0</v>
      </c>
    </row>
    <row r="11" customFormat="false" ht="15" hidden="false" customHeight="false" outlineLevel="0" collapsed="false">
      <c r="A11" s="4" t="s">
        <v>372</v>
      </c>
      <c r="B11" s="7" t="n">
        <f aca="false">COUNTIF('Mining Websites'!A2:A135,A11)</f>
        <v>14</v>
      </c>
      <c r="C11" s="7" t="n">
        <f aca="false">COUNTIFS('Mining Websites'!A2:A135,A11,'Mining Websites'!F2:F135,"Free")</f>
        <v>10</v>
      </c>
      <c r="D11" s="7" t="n">
        <f aca="false">COUNTIFS('Mining Websites'!A2:A135,A11,'Mining Websites'!F2:F135,"Freemium")</f>
        <v>0</v>
      </c>
      <c r="E11" s="7" t="n">
        <f aca="false">COUNTIFS('Mining Websites'!A2:A135,A11,'Mining Websites'!F2:F135,"Subscription")</f>
        <v>0</v>
      </c>
      <c r="F11" s="7" t="n">
        <f aca="false">COUNTIFS('Mining Websites'!A2:A135,A11,'Mining Websites'!F2:F135,"Membership")+COUNTIFS('Mining Websites'!A2:A135,A11,'Mining Websites'!F2:F135,"By Invitation")+COUNTIFS('Mining Websites'!A2:A135,A11,'Mining Websites'!F2:F135,"Paid")</f>
        <v>4</v>
      </c>
    </row>
    <row r="12" customFormat="false" ht="15" hidden="false" customHeight="false" outlineLevel="0" collapsed="false">
      <c r="A12" s="2" t="s">
        <v>437</v>
      </c>
      <c r="B12" s="6" t="n">
        <f aca="false">COUNTIF('Mining Websites'!A2:A135,A12)</f>
        <v>12</v>
      </c>
      <c r="C12" s="6" t="n">
        <f aca="false">COUNTIFS('Mining Websites'!A2:A135,A12,'Mining Websites'!F2:F135,"Free")</f>
        <v>0</v>
      </c>
      <c r="D12" s="6" t="n">
        <f aca="false">COUNTIFS('Mining Websites'!A2:A135,A12,'Mining Websites'!F2:F135,"Freemium")</f>
        <v>0</v>
      </c>
      <c r="E12" s="6" t="n">
        <f aca="false">COUNTIFS('Mining Websites'!A2:A135,A12,'Mining Websites'!F2:F135,"Subscription")</f>
        <v>0</v>
      </c>
      <c r="F12" s="6" t="n">
        <f aca="false">COUNTIFS('Mining Websites'!A2:A135,A12,'Mining Websites'!F2:F135,"Membership")+COUNTIFS('Mining Websites'!A2:A135,A12,'Mining Websites'!F2:F135,"By Invitation")+COUNTIFS('Mining Websites'!A2:A135,A12,'Mining Websites'!F2:F135,"Paid")</f>
        <v>12</v>
      </c>
    </row>
    <row r="13" customFormat="false" ht="15" hidden="false" customHeight="false" outlineLevel="0" collapsed="false">
      <c r="A13" s="4" t="s">
        <v>490</v>
      </c>
      <c r="B13" s="7" t="n">
        <f aca="false">COUNTIF('Mining Websites'!A2:A135,A13)</f>
        <v>12</v>
      </c>
      <c r="C13" s="7" t="n">
        <f aca="false">COUNTIFS('Mining Websites'!A2:A135,A13,'Mining Websites'!F2:F135,"Free")</f>
        <v>10</v>
      </c>
      <c r="D13" s="7" t="n">
        <f aca="false">COUNTIFS('Mining Websites'!A2:A135,A13,'Mining Websites'!F2:F135,"Freemium")</f>
        <v>2</v>
      </c>
      <c r="E13" s="7" t="n">
        <f aca="false">COUNTIFS('Mining Websites'!A2:A135,A13,'Mining Websites'!F2:F135,"Subscription")</f>
        <v>0</v>
      </c>
      <c r="F13" s="7" t="n">
        <f aca="false">COUNTIFS('Mining Websites'!A2:A135,A13,'Mining Websites'!F2:F135,"Membership")+COUNTIFS('Mining Websites'!A2:A135,A13,'Mining Websites'!F2:F135,"By Invitation")+COUNTIFS('Mining Websites'!A2:A135,A13,'Mining Websites'!F2:F135,"Paid")</f>
        <v>0</v>
      </c>
    </row>
    <row r="14" customFormat="false" ht="15" hidden="false" customHeight="false" outlineLevel="0" collapsed="false">
      <c r="A14" s="2" t="s">
        <v>541</v>
      </c>
      <c r="B14" s="6" t="n">
        <f aca="false">COUNTIF('Mining Websites'!A2:A135,A14)</f>
        <v>7</v>
      </c>
      <c r="C14" s="6" t="n">
        <f aca="false">COUNTIFS('Mining Websites'!A2:A135,A14,'Mining Websites'!F2:F135,"Free")</f>
        <v>6</v>
      </c>
      <c r="D14" s="6" t="n">
        <f aca="false">COUNTIFS('Mining Websites'!A2:A135,A14,'Mining Websites'!F2:F135,"Freemium")</f>
        <v>1</v>
      </c>
      <c r="E14" s="6" t="n">
        <f aca="false">COUNTIFS('Mining Websites'!A2:A135,A14,'Mining Websites'!F2:F135,"Subscription")</f>
        <v>0</v>
      </c>
      <c r="F14" s="6" t="n">
        <f aca="false">COUNTIFS('Mining Websites'!A2:A135,A14,'Mining Websites'!F2:F135,"Membership")+COUNTIFS('Mining Websites'!A2:A135,A14,'Mining Websites'!F2:F135,"By Invitation")+COUNTIFS('Mining Websites'!A2:A135,A14,'Mining Websites'!F2:F135,"Paid")</f>
        <v>0</v>
      </c>
    </row>
    <row r="15" customFormat="false" ht="15" hidden="false" customHeight="false" outlineLevel="0" collapsed="false">
      <c r="A15" s="4" t="s">
        <v>567</v>
      </c>
      <c r="B15" s="7" t="n">
        <f aca="false">COUNTIF('Mining Websites'!A2:A135,A15)</f>
        <v>6</v>
      </c>
      <c r="C15" s="7" t="n">
        <f aca="false">COUNTIFS('Mining Websites'!A2:A135,A15,'Mining Websites'!F2:F135,"Free")</f>
        <v>3</v>
      </c>
      <c r="D15" s="7" t="n">
        <f aca="false">COUNTIFS('Mining Websites'!A2:A135,A15,'Mining Websites'!F2:F135,"Freemium")</f>
        <v>1</v>
      </c>
      <c r="E15" s="7" t="n">
        <f aca="false">COUNTIFS('Mining Websites'!A2:A135,A15,'Mining Websites'!F2:F135,"Subscription")</f>
        <v>0</v>
      </c>
      <c r="F15" s="7" t="n">
        <f aca="false">COUNTIFS('Mining Websites'!A2:A135,A15,'Mining Websites'!F2:F135,"Membership")+COUNTIFS('Mining Websites'!A2:A135,A15,'Mining Websites'!F2:F135,"By Invitation")+COUNTIFS('Mining Websites'!A2:A135,A15,'Mining Websites'!F2:F135,"Paid")</f>
        <v>0</v>
      </c>
    </row>
    <row r="16" customFormat="false" ht="15" hidden="false" customHeight="false" outlineLevel="0" collapsed="false">
      <c r="A16" s="2" t="s">
        <v>594</v>
      </c>
      <c r="B16" s="6" t="n">
        <f aca="false">COUNTIF('Mining Websites'!A2:A135,A16)</f>
        <v>6</v>
      </c>
      <c r="C16" s="6" t="n">
        <f aca="false">COUNTIFS('Mining Websites'!A2:A135,A16,'Mining Websites'!F2:F135,"Free")</f>
        <v>5</v>
      </c>
      <c r="D16" s="6" t="n">
        <f aca="false">COUNTIFS('Mining Websites'!A2:A135,A16,'Mining Websites'!F2:F135,"Freemium")</f>
        <v>0</v>
      </c>
      <c r="E16" s="6" t="n">
        <f aca="false">COUNTIFS('Mining Websites'!A2:A135,A16,'Mining Websites'!F2:F135,"Subscription")</f>
        <v>1</v>
      </c>
      <c r="F16" s="6" t="n">
        <f aca="false">COUNTIFS('Mining Websites'!A2:A135,A16,'Mining Websites'!F2:F135,"Membership")+COUNTIFS('Mining Websites'!A2:A135,A16,'Mining Websites'!F2:F135,"By Invitation")+COUNTIFS('Mining Websites'!A2:A135,A16,'Mining Websites'!F2:F135,"Paid")</f>
        <v>0</v>
      </c>
    </row>
    <row r="17" customFormat="false" ht="15" hidden="false" customHeight="false" outlineLevel="0" collapsed="false">
      <c r="A17" s="4" t="s">
        <v>621</v>
      </c>
      <c r="B17" s="7" t="n">
        <f aca="false">COUNTIF('Mining Websites'!A2:A135,A17)</f>
        <v>4</v>
      </c>
      <c r="C17" s="7" t="n">
        <f aca="false">COUNTIFS('Mining Websites'!A2:A135,A17,'Mining Websites'!F2:F135,"Free")</f>
        <v>4</v>
      </c>
      <c r="D17" s="7" t="n">
        <f aca="false">COUNTIFS('Mining Websites'!A2:A135,A17,'Mining Websites'!F2:F135,"Freemium")</f>
        <v>0</v>
      </c>
      <c r="E17" s="7" t="n">
        <f aca="false">COUNTIFS('Mining Websites'!A2:A135,A17,'Mining Websites'!F2:F135,"Subscription")</f>
        <v>0</v>
      </c>
      <c r="F17" s="7" t="n">
        <f aca="false">COUNTIFS('Mining Websites'!A2:A135,A17,'Mining Websites'!F2:F135,"Membership")+COUNTIFS('Mining Websites'!A2:A135,A17,'Mining Websites'!F2:F135,"By Invitation")+COUNTIFS('Mining Websites'!A2:A135,A17,'Mining Websites'!F2:F135,"Paid")</f>
        <v>0</v>
      </c>
    </row>
    <row r="18" customFormat="false" ht="15" hidden="false" customHeight="false" outlineLevel="0" collapsed="false">
      <c r="A18" s="8" t="s">
        <v>639</v>
      </c>
      <c r="B18" s="8" t="n">
        <f aca="false">SUM(B2:B17)</f>
        <v>134</v>
      </c>
      <c r="C18" s="8" t="n">
        <f aca="false">SUM(C2:C17)</f>
        <v>81</v>
      </c>
      <c r="D18" s="8" t="n">
        <f aca="false">SUM(D2:D17)</f>
        <v>20</v>
      </c>
      <c r="E18" s="8" t="n">
        <f aca="false">SUM(E2:E17)</f>
        <v>15</v>
      </c>
      <c r="F18" s="8" t="n">
        <f aca="false">SUM(F2:F17)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2026-02-04T15:46:56Z</dcterms:created>
  <dc:creator>openpyxl</dc:creator>
  <dc:description/>
  <dc:language>en-US</dc:language>
  <cp:lastModifiedBy/>
  <dcterms:modified xsi:type="dcterms:W3CDTF">2026-02-04T15:46:56Z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